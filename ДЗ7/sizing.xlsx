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665115c40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сурсы" sheetId="1" r:id="R42cd68cdf7af4395"/>
    <x:sheet xmlns:r="http://schemas.openxmlformats.org/officeDocument/2006/relationships" name="Стоимость" sheetId="2" r:id="R5654c008daf1437c"/>
    <x:sheet xmlns:r="http://schemas.openxmlformats.org/officeDocument/2006/relationships" name="Оптимизация" sheetId="3" r:id="R6e73f619b7b142e8"/>
  </x:sheets>
</x:workbook>
</file>

<file path=xl/sharedStrings.xml><?xml version="1.0" encoding="utf-8"?>
<x:sst xmlns:x="http://schemas.openxmlformats.org/spreadsheetml/2006/main">
  <x:si>
    <x:t xml:space="preserve">Llama-3-70B. Расчёт VRAM и количества GPU</x:t>
  </x:si>
  <x:si>
    <x:t xml:space="preserve">1000 RPM. Сценарный расчёт по закону Литтла. Жёлтые ячейки содержат изменяемые допущения.</x:t>
  </x:si>
  <x:si>
    <x:t xml:space="preserve">Параметр</x:t>
  </x:si>
  <x:si>
    <x:t xml:space="preserve">FP16</x:t>
  </x:si>
  <x:si>
    <x:t xml:space="preserve">INT4</x:t>
  </x:si>
  <x:si>
    <x:t xml:space="preserve">Примечание</x:t>
  </x:si>
  <x:si>
    <x:t xml:space="preserve">Количество параметров</x:t>
  </x:si>
  <x:si>
    <x:t xml:space="preserve">70 млрд параметров</x:t>
  </x:si>
  <x:si>
    <x:t xml:space="preserve">Байт на параметр</x:t>
  </x:si>
  <x:si>
    <x:t xml:space="preserve">Точность весов модели</x:t>
  </x:si>
  <x:si>
    <x:t xml:space="preserve">Веса модели, GiB</x:t>
  </x:si>
  <x:si>
    <x:t xml:space="preserve">Слоёв</x:t>
  </x:si>
  <x:si>
    <x:t xml:space="preserve">Архитектура Llama 3 70B</x:t>
  </x:si>
  <x:si>
    <x:t xml:space="preserve">Размерность головы</x:t>
  </x:si>
  <x:si>
    <x:t xml:space="preserve">8192 / 64</x:t>
  </x:si>
  <x:si>
    <x:t xml:space="preserve">KV-голов</x:t>
  </x:si>
  <x:si>
    <x:t xml:space="preserve">GQA. Используются KV-головы, а не query-головы</x:t>
  </x:si>
  <x:si>
    <x:t xml:space="preserve">Длина последовательности, токены</x:t>
  </x:si>
  <x:si>
    <x:t xml:space="preserve">Вход и ответ суммарно. Допущение</x:t>
  </x:si>
  <x:si>
    <x:t xml:space="preserve">Байт на элемент KV-кэша</x:t>
  </x:si>
  <x:si>
    <x:t xml:space="preserve">FP16 для обоих форматов весов</x:t>
  </x:si>
  <x:si>
    <x:t xml:space="preserve">KV на запрос, MiB</x:t>
  </x:si>
  <x:si>
    <x:t xml:space="preserve">2 × слои × KV-головы × размер головы × токены × байт / 2^20</x:t>
  </x:si>
  <x:si>
    <x:t xml:space="preserve">Запросов в минуту</x:t>
  </x:si>
  <x:si>
    <x:t xml:space="preserve">Условие задания</x:t>
  </x:si>
  <x:si>
    <x:t xml:space="preserve">Запросов в секунду</x:t>
  </x:si>
  <x:si>
    <x:t xml:space="preserve">Среднее время ответа, с</x:t>
  </x:si>
  <x:si>
    <x:t xml:space="preserve">Сценарное допущение, не измеренная задержка</x:t>
  </x:si>
  <x:si>
    <x:t xml:space="preserve">Одновременных запросов, среднее</x:t>
  </x:si>
  <x:si>
    <x:t xml:space="preserve">Закон Литтла. RPS × среднее время ответа</x:t>
  </x:si>
  <x:si>
    <x:t xml:space="preserve">Одновременных запросов, округлено</x:t>
  </x:si>
  <x:si>
    <x:t xml:space="preserve">Служебная память, GiB</x:t>
  </x:si>
  <x:si>
    <x:t xml:space="preserve">Допущение. Буферы и исполнение сверх весов и KV</x:t>
  </x:si>
  <x:si>
    <x:t xml:space="preserve">Резерв метаданных весов</x:t>
  </x:si>
  <x:si>
    <x:t xml:space="preserve">INT4. Scales, zeros и неквантованные тензоры</x:t>
  </x:si>
  <x:si>
    <x:t xml:space="preserve">Используемая доля VRAM</x:t>
  </x:si>
  <x:si>
    <x:t xml:space="preserve">10% VRAM оставлено свободным</x:t>
  </x:si>
  <x:si>
    <x:t xml:space="preserve">Веса с резервом, GiB</x:t>
  </x:si>
  <x:si>
    <x:t xml:space="preserve">Активных запросов. Базовый сценарий</x:t>
  </x:si>
  <x:si>
    <x:t xml:space="preserve">Допущение для одной реплики</x:t>
  </x:si>
  <x:si>
    <x:t xml:space="preserve">Активных запросов. Batching</x:t>
  </x:si>
  <x:si>
    <x:t xml:space="preserve">Активных запросов. vLLM + batching</x:t>
  </x:si>
  <x:si>
    <x:t xml:space="preserve">KV на реплику с vLLM, GiB</x:t>
  </x:si>
  <x:si>
    <x:t xml:space="preserve">VRAM на реплику с vLLM, GiB</x:t>
  </x:si>
  <x:si>
    <x:t xml:space="preserve">Веса с резервом + KV активных запросов + служебная память</x:t>
  </x:si>
  <x:si>
    <x:t xml:space="preserve">GPU</x:t>
  </x:si>
  <x:si>
    <x:t xml:space="preserve">VRAM, GiB</x:t>
  </x:si>
  <x:si>
    <x:t xml:space="preserve">Минимум FP16</x:t>
  </x:si>
  <x:si>
    <x:t xml:space="preserve">Минимум INT4</x:t>
  </x:si>
  <x:si>
    <x:t xml:space="preserve">TP FP16</x:t>
  </x:si>
  <x:si>
    <x:t xml:space="preserve">TP INT4</x:t>
  </x:si>
  <x:si>
    <x:t xml:space="preserve">A100 80 GB</x:t>
  </x:si>
  <x:si>
    <x:t xml:space="preserve">Для INT4 одна GPU</x:t>
  </x:si>
  <x:si>
    <x:t xml:space="preserve">T4 16 GB</x:t>
  </x:si>
  <x:si>
    <x:t xml:space="preserve">Нужна связная группа GPU</x:t>
  </x:si>
  <x:si>
    <x:t xml:space="preserve">L4 24 GB</x:t>
  </x:si>
  <x:si>
    <x:t xml:space="preserve">Конфигурация</x:t>
  </x:si>
  <x:si>
    <x:t xml:space="preserve">GPU/реплика</x:t>
  </x:si>
  <x:si>
    <x:t xml:space="preserve">Запросов на реплику</x:t>
  </x:si>
  <x:si>
    <x:t xml:space="preserve">Время, с</x:t>
  </x:si>
  <x:si>
    <x:t xml:space="preserve">RPM/реплика</x:t>
  </x:si>
  <x:si>
    <x:t xml:space="preserve">Реплик</x:t>
  </x:si>
  <x:si>
    <x:t xml:space="preserve">Всего GPU</x:t>
  </x:si>
  <x:si>
    <x:t xml:space="preserve">FP16. A100</x:t>
  </x:si>
  <x:si>
    <x:t xml:space="preserve">FP16. T4</x:t>
  </x:si>
  <x:si>
    <x:t xml:space="preserve">FP16. L4</x:t>
  </x:si>
  <x:si>
    <x:t xml:space="preserve">INT4. A100 + vLLM</x:t>
  </x:si>
  <x:si>
    <x:t xml:space="preserve">INT4. T4 + vLLM</x:t>
  </x:si>
  <x:si>
    <x:t xml:space="preserve">INT4. L4 + vLLM</x:t>
  </x:si>
  <x:si>
    <x:t xml:space="preserve">Средние 2 секунды и активные запросы на реплику являются допущениями. Число GPU зависит от их выполнения.</x:t>
  </x:si>
  <x:si>
    <x:t xml:space="preserve">T4 FP16 требует TP16 и межузловой связи. T4/L4 не выбраны из-за размера групп и сложности межсоединений.</x:t>
  </x:si>
  <x:si>
    <x:t xml:space="preserve">Стоимость аренды. Yandex Cloud и Cloud.ru</x:t>
  </x:si>
  <x:si>
    <x:t xml:space="preserve">С НДС. Аренда ВМ с двумя A100 80 GB.</x:t>
  </x:si>
  <x:si>
    <x:t xml:space="preserve">Yandex Cloud</x:t>
  </x:si>
  <x:si>
    <x:t xml:space="preserve">Cloud.ru</x:t>
  </x:si>
  <x:si>
    <x:t xml:space="preserve">Единица</x:t>
  </x:si>
  <x:si>
    <x:t xml:space="preserve">Одна A100 за час</x:t>
  </x:si>
  <x:si>
    <x:t xml:space="preserve">₽/ч</x:t>
  </x:si>
  <x:si>
    <x:t xml:space="preserve">В Cloud.ru GPU входят в цену ВМ</x:t>
  </x:si>
  <x:si>
    <x:t xml:space="preserve">vCPU за час</x:t>
  </x:si>
  <x:si>
    <x:t xml:space="preserve">AMD EPYC, 100% vCPU</x:t>
  </x:si>
  <x:si>
    <x:t xml:space="preserve">RAM за GiB-час</x:t>
  </x:si>
  <x:si>
    <x:t xml:space="preserve">AMD EPYC</x:t>
  </x:si>
  <x:si>
    <x:t xml:space="preserve">vCPU на ВМ</x:t>
  </x:si>
  <x:si>
    <x:t xml:space="preserve">шт.</x:t>
  </x:si>
  <x:si>
    <x:t xml:space="preserve">Размеры ВМ по тарифам</x:t>
  </x:si>
  <x:si>
    <x:t xml:space="preserve">RAM на ВМ</x:t>
  </x:si>
  <x:si>
    <x:t xml:space="preserve">GiB</x:t>
  </x:si>
  <x:si>
    <x:t xml:space="preserve">SSD на ВМ</x:t>
  </x:si>
  <x:si>
    <x:t xml:space="preserve">Допущение</x:t>
  </x:si>
  <x:si>
    <x:t xml:space="preserve">SSD за GiB-час</x:t>
  </x:si>
  <x:si>
    <x:t xml:space="preserve">Cloud.ru тарифицируется за месяц</x:t>
  </x:si>
  <x:si>
    <x:t xml:space="preserve">ВМ за месяц</x:t>
  </x:si>
  <x:si>
    <x:t xml:space="preserve">₽</x:t>
  </x:si>
  <x:si>
    <x:t xml:space="preserve">Две A100, CPU и RAM</x:t>
  </x:si>
  <x:si>
    <x:t xml:space="preserve">SSD за GiB-месяц</x:t>
  </x:si>
  <x:si>
    <x:t xml:space="preserve">₽/месяц</x:t>
  </x:si>
  <x:si>
    <x:t xml:space="preserve">Расчётный месяц</x:t>
  </x:si>
  <x:si>
    <x:t xml:space="preserve">ч</x:t>
  </x:si>
  <x:si>
    <x:t xml:space="preserve">30 дней</x:t>
  </x:si>
  <x:si>
    <x:t xml:space="preserve">GPU на ВМ</x:t>
  </x:si>
  <x:si>
    <x:t xml:space="preserve">Минимальная выбранная конфигурация</x:t>
  </x:si>
  <x:si>
    <x:t xml:space="preserve">ВМ за месяц, включая SSD</x:t>
  </x:si>
  <x:si>
    <x:t xml:space="preserve">ВМ</x:t>
  </x:si>
  <x:si>
    <x:t xml:space="preserve">Yandex, ₽/месяц</x:t>
  </x:si>
  <x:si>
    <x:t xml:space="preserve">Cloud.ru, ₽/месяц</x:t>
  </x:si>
  <x:si>
    <x:t xml:space="preserve">INT4. Базовый сценарий</x:t>
  </x:si>
  <x:si>
    <x:t xml:space="preserve">INT4. vLLM + batching</x:t>
  </x:si>
  <x:si>
    <x:t xml:space="preserve">Cloud.ru дешевле, выбранный сценарий</x:t>
  </x:si>
  <x:si>
    <x:t xml:space="preserve">В стоимость включены GPU, CPU, RAM и SSD. Сеть, балансировщик и хранилища приложения не включены.</x:t>
  </x:si>
  <x:si>
    <x:t xml:space="preserve">Прогноз экономии. INT4 на A100</x:t>
  </x:si>
  <x:si>
    <x:t xml:space="preserve">Изменяется плановое число активных запросов на реплику. Среднее время ответа принято равным двум секундам.</x:t>
  </x:si>
  <x:si>
    <x:t xml:space="preserve">Сценарий</x:t>
  </x:si>
  <x:si>
    <x:t xml:space="preserve">Нужно GPU</x:t>
  </x:si>
  <x:si>
    <x:t xml:space="preserve">Аренда GPU</x:t>
  </x:si>
  <x:si>
    <x:t xml:space="preserve">Cloud.ru, ₽/мес</x:t>
  </x:si>
  <x:si>
    <x:t xml:space="preserve">Экономия</x:t>
  </x:si>
  <x:si>
    <x:t xml:space="preserve">Базовый сценарий</x:t>
  </x:si>
  <x:si>
    <x:t xml:space="preserve">Continuous batching</x:t>
  </x:si>
  <x:si>
    <x:t xml:space="preserve">vLLM + continuous batching</x:t>
  </x:si>
  <x:si>
    <x:t xml:space="preserve">Конкурентность 9 → 12 → 18 является допущением сценария, а не гарантированным ускорением vLLM.</x:t>
  </x:si>
  <x:si>
    <x:t xml:space="preserve">Для трёх реплик требуется аренда двух ВМ по две GPU. Поэтому промежуточный сценарий не снижает оплату.</x:t>
  </x:si>
  <x:si>
    <x:t xml:space="preserve">Квантование снижает память весов. Batching распределяет вычисления между активными запросами.</x:t>
  </x:si>
  <x:si>
    <x:t xml:space="preserve">vLLM использует continuous batching и PagedAttention для управления запросами и памятью KV-кэша.</x:t>
  </x:si>
  <x:si>
    <x:t xml:space="preserve">Плановый выбор. INT4, vLLM, две независимые реплики на одной ВМ с двумя A100 80 GB.</x:t>
  </x:si>
  <x:si>
    <x:t xml:space="preserve">Ожидаемая нагрузка обслуживается при выполнении заданных допущений о задержке и конкурентности.</x:t>
  </x:si>
  <x:si>
    <x:t xml:space="preserve">Бюджет Cloud.ru, ₽/месяц</x:t>
  </x:si>
  <x:si>
    <x:t xml:space="preserve">Расчётная производительность, RPM</x:t>
  </x:si>
</x:sst>
</file>

<file path=xl/styles.xml><?xml version="1.0" encoding="utf-8"?>
<x:styleSheet xmlns:x="http://schemas.openxmlformats.org/spreadsheetml/2006/main">
  <x:numFmts count="4">
    <x:numFmt numFmtId="164" formatCode="0.0"/>
    <x:numFmt numFmtId="165" formatCode="#,##0.0000"/>
    <x:numFmt numFmtId="166" formatCode="#,##0&quot; ₽&quot;"/>
    <x:numFmt numFmtId="167" formatCode="0.0%"/>
  </x:numFmts>
  <x:fonts count="6">
    <x:font>
      <x:sz val="11"/>
      <x:name val="Carlito"/>
    </x:font>
    <x:font>
      <x:sz val="11"/>
      <x:color rgb="FF000000"/>
      <x:name val="Arial"/>
    </x:font>
    <x:font>
      <x:b/>
      <x:sz val="11"/>
      <x:color rgb="FF000000"/>
      <x:name val="Arial"/>
    </x:font>
    <x:font>
      <x:b/>
      <x:sz val="14"/>
      <x:color rgb="FF000000"/>
      <x:name val="Arial"/>
    </x:font>
    <x:font>
      <x:sz val="11"/>
      <x:name val="Carlito"/>
    </x:font>
    <x:font>
      <x:sz val="11"/>
      <x:color rgb="FF000000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FF2CC"/>
      </x:patternFill>
    </x:fill>
  </x:fills>
  <x:borders count="3">
    <x:border>
      <x:left/>
      <x:right/>
      <x:top/>
      <x:bottom/>
      <x:diagonal/>
    </x:border>
    <x:border>
      <x:left style="thin">
        <x:color rgb="FFA0A0A0"/>
      </x:left>
      <x:right style="thin">
        <x:color rgb="FFA0A0A0"/>
      </x:right>
      <x:top style="thin">
        <x:color rgb="FFA0A0A0"/>
      </x:top>
      <x:bottom style="thin">
        <x:color rgb="FFA0A0A0"/>
      </x:bottom>
      <x:diagonal/>
    </x:border>
    <x:border>
      <x:left style="thin">
        <x:color rgb="FFB0B0B0"/>
      </x:left>
      <x:right style="thin">
        <x:color rgb="FFB0B0B0"/>
      </x:right>
      <x:top style="thin">
        <x:color rgb="FFB0B0B0"/>
      </x:top>
      <x:bottom style="thin">
        <x:color rgb="FFB0B0B0"/>
      </x:bottom>
      <x:diagonal/>
    </x:border>
  </x:borders>
  <x:cellStyleXfs count="2">
    <x:xf numFmtId="0" fontId="0" fillId="0" borderId="0"/>
    <x:xf numFmtId="0" fontId="4" fillId="0" borderId="0"/>
  </x:cellStyleXfs>
  <x:cellXfs count="35">
    <x:xf numFmtId="0" fontId="0" fillId="0" borderId="0" xfId="0"/>
    <x:xf numFmtId="0" fontId="1" fillId="0" borderId="0" xfId="1" applyFont="1" applyAlignment="1">
      <x:alignment vertical="center"/>
    </x:xf>
    <x:xf numFmtId="4" fontId="1" fillId="0" borderId="0" xfId="1" applyNumberFormat="1" applyFont="1" applyAlignment="1">
      <x:alignment vertical="center"/>
    </x:xf>
    <x:xf numFmtId="4" fontId="1" fillId="0" borderId="0" xfId="1" applyNumberFormat="1" applyFont="1" applyAlignment="1">
      <x:alignment vertical="center" wrapText="1"/>
    </x:xf>
    <x:xf numFmtId="0" fontId="2" fillId="2" borderId="1" xfId="1" applyFont="1" applyFill="1" applyBorder="1" applyAlignment="1">
      <x:alignment vertical="center" wrapText="1"/>
    </x:xf>
    <x:xf numFmtId="4" fontId="2" fillId="2" borderId="1" xfId="1" applyNumberFormat="1" applyFont="1" applyFill="1" applyBorder="1" applyAlignment="1">
      <x:alignment vertical="center" wrapText="1"/>
    </x:xf>
    <x:xf numFmtId="3" fontId="1" fillId="3" borderId="0" xfId="1" applyNumberFormat="1" applyFont="1" applyFill="1" applyAlignment="1">
      <x:alignment vertical="center"/>
    </x:xf>
    <x:xf numFmtId="164" fontId="1" fillId="3" borderId="0" xfId="1" applyNumberFormat="1" applyFont="1" applyFill="1" applyAlignment="1">
      <x:alignment vertical="center"/>
    </x:xf>
    <x:xf numFmtId="9" fontId="1" fillId="3" borderId="0" xfId="1" applyNumberFormat="1" applyFont="1" applyFill="1" applyAlignment="1">
      <x:alignment vertical="center"/>
    </x:xf>
    <x:xf numFmtId="0" fontId="2" fillId="0" borderId="0" xfId="1" applyFont="1" applyAlignment="1">
      <x:alignment vertical="center"/>
    </x:xf>
    <x:xf numFmtId="4" fontId="2" fillId="0" borderId="0" xfId="1" applyNumberFormat="1" applyFont="1" applyAlignment="1">
      <x:alignment vertical="center"/>
    </x:xf>
    <x:xf numFmtId="1" fontId="1" fillId="3" borderId="0" xfId="1" applyNumberFormat="1" applyFont="1" applyFill="1" applyAlignment="1">
      <x:alignment vertical="center"/>
    </x:xf>
    <x:xf numFmtId="1" fontId="1" fillId="0" borderId="0" xfId="1" applyNumberFormat="1" applyFont="1" applyAlignment="1">
      <x:alignment vertical="center"/>
    </x:xf>
    <x:xf numFmtId="0" fontId="2" fillId="2" borderId="2" xfId="1" applyFont="1" applyFill="1" applyBorder="1" applyAlignment="1">
      <x:alignment vertical="center" wrapText="1"/>
    </x:xf>
    <x:xf numFmtId="4" fontId="2" fillId="2" borderId="2" xfId="1" applyNumberFormat="1" applyFont="1" applyFill="1" applyBorder="1" applyAlignment="1">
      <x:alignment vertical="center" wrapText="1"/>
    </x:xf>
    <x:xf numFmtId="0" fontId="1" fillId="0" borderId="2" xfId="1" applyFont="1" applyBorder="1" applyAlignment="1">
      <x:alignment vertical="center"/>
    </x:xf>
    <x:xf numFmtId="4" fontId="1" fillId="0" borderId="2" xfId="1" applyNumberFormat="1" applyFont="1" applyBorder="1" applyAlignment="1">
      <x:alignment vertical="center"/>
    </x:xf>
    <x:xf numFmtId="1" fontId="1" fillId="0" borderId="2" xfId="1" applyNumberFormat="1" applyFont="1" applyBorder="1" applyAlignment="1">
      <x:alignment vertical="center"/>
    </x:xf>
    <x:xf numFmtId="1" fontId="1" fillId="3" borderId="2" xfId="1" applyNumberFormat="1" applyFont="1" applyFill="1" applyBorder="1" applyAlignment="1">
      <x:alignment vertical="center"/>
    </x:xf>
    <x:xf numFmtId="165" fontId="1" fillId="3" borderId="0" xfId="1" applyNumberFormat="1" applyFont="1" applyFill="1" applyAlignment="1">
      <x:alignment vertical="center"/>
    </x:xf>
    <x:xf numFmtId="3" fontId="1" fillId="0" borderId="0" xfId="1" applyNumberFormat="1" applyFont="1" applyAlignment="1">
      <x:alignment vertical="center"/>
    </x:xf>
    <x:xf numFmtId="166" fontId="1" fillId="0" borderId="0" xfId="1" applyNumberFormat="1" applyFont="1" applyAlignment="1">
      <x:alignment vertical="center"/>
    </x:xf>
    <x:xf numFmtId="167" fontId="1" fillId="0" borderId="0" xfId="1" applyNumberFormat="1" applyFont="1" applyAlignment="1">
      <x:alignment vertical="center"/>
    </x:xf>
    <x:xf numFmtId="166" fontId="1" fillId="0" borderId="2" xfId="1" applyNumberFormat="1" applyFont="1" applyBorder="1" applyAlignment="1">
      <x:alignment vertical="center"/>
    </x:xf>
    <x:xf numFmtId="0" fontId="2" fillId="0" borderId="2" xfId="1" applyFont="1" applyBorder="1" applyAlignment="1">
      <x:alignment vertical="center"/>
    </x:xf>
    <x:xf numFmtId="1" fontId="2" fillId="0" borderId="2" xfId="1" applyNumberFormat="1" applyFont="1" applyBorder="1" applyAlignment="1">
      <x:alignment vertical="center"/>
    </x:xf>
    <x:xf numFmtId="166" fontId="2" fillId="0" borderId="2" xfId="1" applyNumberFormat="1" applyFont="1" applyBorder="1" applyAlignment="1">
      <x:alignment vertical="center"/>
    </x:xf>
    <x:xf numFmtId="9" fontId="1" fillId="0" borderId="2" xfId="1" applyNumberFormat="1" applyFont="1" applyBorder="1" applyAlignment="1">
      <x:alignment vertical="center"/>
    </x:xf>
    <x:xf numFmtId="9" fontId="2" fillId="0" borderId="2" xfId="1" applyNumberFormat="1" applyFont="1" applyBorder="1" applyAlignment="1">
      <x:alignment vertical="center"/>
    </x:xf>
    <x:xf numFmtId="0" fontId="1" fillId="0" borderId="0" xfId="1" applyFont="1" applyAlignment="1">
      <x:alignment vertical="center" wrapText="1"/>
    </x:xf>
    <x:xf numFmtId="4" fontId="1" fillId="0" borderId="0" xfId="1" applyNumberFormat="1" applyFont="1" applyAlignment="1">
      <x:alignment vertical="center" wrapText="1"/>
    </x:xf>
    <x:xf numFmtId="4" fontId="2" fillId="0" borderId="0" xfId="1" applyNumberFormat="1" applyFont="1" applyAlignment="1">
      <x:alignment vertical="center" wrapText="1"/>
    </x:xf>
    <x:xf numFmtId="0" fontId="3" fillId="0" borderId="0" xfId="1" applyFont="1" applyAlignment="1">
      <x:alignment vertical="center" wrapText="1"/>
    </x:xf>
    <x:xf numFmtId="4" fontId="2" fillId="2" borderId="1" xfId="1" applyNumberFormat="1" applyFont="1" applyFill="1" applyBorder="1" applyAlignment="1">
      <x:alignment vertical="center" wrapText="1"/>
    </x:xf>
    <x:xf numFmtId="0" fontId="5" fillId="0" borderId="0" xfId="1" applyFont="1" applyAlignment="1">
      <x:alignment vertical="center" wrapText="1"/>
    </x:xf>
  </x:cellXfs>
  <x:cellStyles count="2">
    <x:cellStyle name="Обычный" xfId="0"/>
    <x:cellStyle name="Normal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44bc8154454422" /><Relationship Type="http://schemas.openxmlformats.org/officeDocument/2006/relationships/theme" Target="/xl/theme/theme1.xml" Id="Rf5243786091a419d" /><Relationship Type="http://schemas.openxmlformats.org/officeDocument/2006/relationships/sharedStrings" Target="/xl/sharedStrings.xml" Id="R8f487141395d41f4" /><Relationship Type="http://schemas.openxmlformats.org/officeDocument/2006/relationships/worksheet" Target="/xl/worksheets/sheet1.xml" Id="R42cd68cdf7af4395" /><Relationship Type="http://schemas.openxmlformats.org/officeDocument/2006/relationships/worksheet" Target="/xl/worksheets/sheet2.xml" Id="R5654c008daf1437c" /><Relationship Type="http://schemas.openxmlformats.org/officeDocument/2006/relationships/worksheet" Target="/xl/worksheets/sheet3.xml" Id="R6e73f619b7b142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10" defaultColWidth="8.83203125" defaultRowHeight="15"/>
  <x:cols>
    <x:col min="1" max="1" width="35.5" customWidth="1"/>
    <x:col min="2" max="3" width="13.6640625" customWidth="1"/>
    <x:col min="4" max="9" width="12.5" customWidth="1"/>
  </x:cols>
  <x:sheetData>
    <x:row r="1" ht="27" customHeight="1">
      <x:c r="A1" s="32" t="s">
        <x:v>0</x:v>
      </x:c>
      <x:c r="B1" s="30"/>
      <x:c r="C1" s="30"/>
      <x:c r="D1" s="30"/>
      <x:c r="E1" s="30"/>
      <x:c r="F1" s="30"/>
      <x:c r="G1" s="30"/>
      <x:c r="H1" s="30"/>
      <x:c r="I1" s="2"/>
    </x:row>
    <x:row r="2" ht="27" customHeight="1">
      <x:c r="A2" s="29" t="s">
        <x:v>1</x:v>
      </x:c>
      <x:c r="B2" s="30"/>
      <x:c r="C2" s="30"/>
      <x:c r="D2" s="30"/>
      <x:c r="E2" s="30"/>
      <x:c r="F2" s="30"/>
      <x:c r="G2" s="30"/>
      <x:c r="H2" s="30"/>
      <x:c r="I2" s="2"/>
    </x:row>
    <x:row r="3" ht="27" customHeight="1">
      <x:c r="A3" s="1"/>
      <x:c r="B3" s="2"/>
      <x:c r="C3" s="2"/>
      <x:c r="D3" s="2"/>
      <x:c r="E3" s="2"/>
      <x:c r="F3" s="2"/>
      <x:c r="G3" s="2"/>
      <x:c r="H3" s="2"/>
      <x:c r="I3" s="2"/>
    </x:row>
    <x:row r="4" ht="44" customHeight="1">
      <x:c r="A4" s="4" t="s">
        <x:v>2</x:v>
      </x:c>
      <x:c r="B4" s="5" t="s">
        <x:v>3</x:v>
      </x:c>
      <x:c r="C4" s="5" t="s">
        <x:v>4</x:v>
      </x:c>
      <x:c r="D4" s="33" t="s">
        <x:v>5</x:v>
      </x:c>
      <x:c r="E4" s="30"/>
      <x:c r="F4" s="30"/>
      <x:c r="G4" s="30"/>
      <x:c r="H4" s="30"/>
    </x:row>
    <x:row r="5" ht="27" customHeight="1">
      <x:c r="A5" s="1" t="s">
        <x:v>6</x:v>
      </x:c>
      <x:c r="B5" s="6">
        <x:v>70000000000</x:v>
      </x:c>
      <x:c r="C5" s="6">
        <x:v>70000000000</x:v>
      </x:c>
      <x:c r="D5" s="30" t="s">
        <x:v>7</x:v>
      </x:c>
      <x:c r="E5" s="30"/>
      <x:c r="F5" s="30"/>
      <x:c r="G5" s="30"/>
      <x:c r="H5" s="30"/>
    </x:row>
    <x:row r="6" ht="27" customHeight="1">
      <x:c r="A6" s="1" t="s">
        <x:v>8</x:v>
      </x:c>
      <x:c r="B6" s="7">
        <x:v>2</x:v>
      </x:c>
      <x:c r="C6" s="7">
        <x:v>0.5</x:v>
      </x:c>
      <x:c r="D6" s="30" t="s">
        <x:v>9</x:v>
      </x:c>
      <x:c r="E6" s="30"/>
      <x:c r="F6" s="30"/>
      <x:c r="G6" s="30"/>
      <x:c r="H6" s="30"/>
    </x:row>
    <x:row r="7" ht="27" customHeight="1">
      <x:c r="A7" s="9" t="s">
        <x:v>10</x:v>
      </x:c>
      <x:c r="B7" s="10" t="n">
        <x:f>B5*B6/2^30</x:f>
        <x:v>130.385160446167</x:v>
      </x:c>
      <x:c r="C7" s="10" t="n">
        <x:f>C5*C6/2^30</x:f>
        <x:v>32.59629011154175</x:v>
      </x:c>
      <x:c r="D7" s="10"/>
      <x:c r="E7" s="10"/>
      <x:c r="F7" s="10"/>
      <x:c r="G7" s="10"/>
      <x:c r="H7" s="10"/>
    </x:row>
    <x:row r="8" ht="27" customHeight="1">
      <x:c r="A8" s="1"/>
      <x:c r="B8" s="2"/>
      <x:c r="C8" s="2"/>
      <x:c r="D8" s="2"/>
      <x:c r="E8" s="2"/>
      <x:c r="F8" s="2"/>
      <x:c r="G8" s="2"/>
      <x:c r="H8" s="2"/>
    </x:row>
    <x:row r="9" ht="27" customHeight="1">
      <x:c r="A9" s="1" t="s">
        <x:v>11</x:v>
      </x:c>
      <x:c r="B9" s="6">
        <x:v>80</x:v>
      </x:c>
      <x:c r="C9" s="6">
        <x:v>80</x:v>
      </x:c>
      <x:c r="D9" s="30" t="s">
        <x:v>12</x:v>
      </x:c>
      <x:c r="E9" s="30"/>
      <x:c r="F9" s="30"/>
      <x:c r="G9" s="30"/>
      <x:c r="H9" s="30"/>
    </x:row>
    <x:row r="10" ht="27" customHeight="1">
      <x:c r="A10" s="1" t="s">
        <x:v>13</x:v>
      </x:c>
      <x:c r="B10" s="6">
        <x:v>128</x:v>
      </x:c>
      <x:c r="C10" s="6">
        <x:v>128</x:v>
      </x:c>
      <x:c r="D10" s="30" t="s">
        <x:v>14</x:v>
      </x:c>
      <x:c r="E10" s="30"/>
      <x:c r="F10" s="30"/>
      <x:c r="G10" s="30"/>
      <x:c r="H10" s="30"/>
    </x:row>
    <x:row r="11" ht="27" customHeight="1">
      <x:c r="A11" s="1" t="s">
        <x:v>15</x:v>
      </x:c>
      <x:c r="B11" s="6">
        <x:v>8</x:v>
      </x:c>
      <x:c r="C11" s="6">
        <x:v>8</x:v>
      </x:c>
      <x:c r="D11" s="30" t="s">
        <x:v>16</x:v>
      </x:c>
      <x:c r="E11" s="30"/>
      <x:c r="F11" s="30"/>
      <x:c r="G11" s="30"/>
      <x:c r="H11" s="30"/>
    </x:row>
    <x:row r="12" ht="27" customHeight="1">
      <x:c r="A12" s="1" t="s">
        <x:v>17</x:v>
      </x:c>
      <x:c r="B12" s="6">
        <x:v>2048</x:v>
      </x:c>
      <x:c r="C12" s="6">
        <x:v>2048</x:v>
      </x:c>
      <x:c r="D12" s="30" t="s">
        <x:v>18</x:v>
      </x:c>
      <x:c r="E12" s="30"/>
      <x:c r="F12" s="30"/>
      <x:c r="G12" s="30"/>
      <x:c r="H12" s="30"/>
    </x:row>
    <x:row r="13" ht="27" customHeight="1">
      <x:c r="A13" s="1" t="s">
        <x:v>19</x:v>
      </x:c>
      <x:c r="B13" s="6">
        <x:v>2</x:v>
      </x:c>
      <x:c r="C13" s="6">
        <x:v>2</x:v>
      </x:c>
      <x:c r="D13" s="30" t="s">
        <x:v>20</x:v>
      </x:c>
      <x:c r="E13" s="30"/>
      <x:c r="F13" s="30"/>
      <x:c r="G13" s="30"/>
      <x:c r="H13" s="30"/>
    </x:row>
    <x:row r="14" ht="27" customHeight="1">
      <x:c r="A14" s="9" t="s">
        <x:v>21</x:v>
      </x:c>
      <x:c r="B14" s="10" t="n">
        <x:f>2*B9*B11*B10*B12*B13/2^20</x:f>
        <x:v>640</x:v>
      </x:c>
      <x:c r="C14" s="10" t="n">
        <x:f>2*C9*C11*C10*C12*C13/2^20</x:f>
        <x:v>640</x:v>
      </x:c>
      <x:c r="D14" s="31" t="s">
        <x:v>22</x:v>
      </x:c>
      <x:c r="E14" s="31"/>
      <x:c r="F14" s="31"/>
      <x:c r="G14" s="31"/>
      <x:c r="H14" s="31"/>
    </x:row>
    <x:row r="15" ht="27" customHeight="1">
      <x:c r="A15" s="1"/>
      <x:c r="B15" s="2"/>
      <x:c r="C15" s="2"/>
      <x:c r="D15" s="2"/>
      <x:c r="E15" s="2"/>
      <x:c r="F15" s="2"/>
      <x:c r="G15" s="2"/>
      <x:c r="H15" s="2"/>
    </x:row>
    <x:row r="16" ht="27" customHeight="1">
      <x:c r="A16" s="1"/>
      <x:c r="B16" s="2"/>
      <x:c r="C16" s="2"/>
      <x:c r="D16" s="2"/>
      <x:c r="E16" s="2"/>
      <x:c r="F16" s="2"/>
      <x:c r="G16" s="2"/>
      <x:c r="H16" s="2"/>
    </x:row>
    <x:row r="17" ht="27" customHeight="1">
      <x:c r="A17" s="1" t="s">
        <x:v>23</x:v>
      </x:c>
      <x:c r="B17" s="6">
        <x:v>1000</x:v>
      </x:c>
      <x:c r="C17" s="6">
        <x:v>1000</x:v>
      </x:c>
      <x:c r="D17" s="30" t="s">
        <x:v>24</x:v>
      </x:c>
      <x:c r="E17" s="30"/>
      <x:c r="F17" s="30"/>
      <x:c r="G17" s="30"/>
      <x:c r="H17" s="30"/>
    </x:row>
    <x:row r="18" ht="27" customHeight="1">
      <x:c r="A18" s="1" t="s">
        <x:v>25</x:v>
      </x:c>
      <x:c r="B18" s="2" t="n">
        <x:f>B17/60</x:f>
        <x:v>16.666666666666668</x:v>
      </x:c>
      <x:c r="C18" s="2" t="n">
        <x:f>C17/60</x:f>
        <x:v>16.666666666666668</x:v>
      </x:c>
      <x:c r="D18" s="2"/>
      <x:c r="E18" s="2"/>
      <x:c r="F18" s="2"/>
      <x:c r="G18" s="2"/>
      <x:c r="H18" s="2"/>
    </x:row>
    <x:row r="19" ht="27" customHeight="1">
      <x:c r="A19" s="1" t="s">
        <x:v>26</x:v>
      </x:c>
      <x:c r="B19" s="6">
        <x:v>2</x:v>
      </x:c>
      <x:c r="C19" s="6">
        <x:v>2</x:v>
      </x:c>
      <x:c r="D19" s="30" t="s">
        <x:v>27</x:v>
      </x:c>
      <x:c r="E19" s="30"/>
      <x:c r="F19" s="30"/>
      <x:c r="G19" s="30"/>
      <x:c r="H19" s="30"/>
    </x:row>
    <x:row r="20" ht="27" customHeight="1">
      <x:c r="A20" s="1" t="s">
        <x:v>28</x:v>
      </x:c>
      <x:c r="B20" s="2" t="n">
        <x:f>B18*B19</x:f>
        <x:v>33.333333333333336</x:v>
      </x:c>
      <x:c r="C20" s="2" t="n">
        <x:f>C18*C19</x:f>
        <x:v>33.333333333333336</x:v>
      </x:c>
      <x:c r="D20" s="30" t="s">
        <x:v>29</x:v>
      </x:c>
      <x:c r="E20" s="30"/>
      <x:c r="F20" s="30"/>
      <x:c r="G20" s="30"/>
      <x:c r="H20" s="30"/>
    </x:row>
    <x:row r="21" ht="27" customHeight="1">
      <x:c r="A21" s="9" t="s">
        <x:v>30</x:v>
      </x:c>
      <x:c r="B21" s="10" t="n">
        <x:f>ROUNDUP(B20,0)</x:f>
        <x:v>34</x:v>
      </x:c>
      <x:c r="C21" s="10" t="n">
        <x:f>ROUNDUP(C20,0)</x:f>
        <x:v>34</x:v>
      </x:c>
      <x:c r="D21" s="10"/>
      <x:c r="E21" s="10"/>
      <x:c r="F21" s="10"/>
      <x:c r="G21" s="10"/>
      <x:c r="H21" s="10"/>
    </x:row>
    <x:row r="22" ht="27" customHeight="1">
      <x:c r="A22" s="1" t="s">
        <x:v>31</x:v>
      </x:c>
      <x:c r="B22" s="6">
        <x:v>6</x:v>
      </x:c>
      <x:c r="C22" s="6">
        <x:v>6</x:v>
      </x:c>
      <x:c r="D22" s="30" t="s">
        <x:v>32</x:v>
      </x:c>
      <x:c r="E22" s="30"/>
      <x:c r="F22" s="30"/>
      <x:c r="G22" s="30"/>
      <x:c r="H22" s="30"/>
    </x:row>
    <x:row r="23" ht="27" customHeight="1">
      <x:c r="A23" s="1" t="s">
        <x:v>33</x:v>
      </x:c>
      <x:c r="B23" s="8">
        <x:v>0</x:v>
      </x:c>
      <x:c r="C23" s="8">
        <x:v>0.1</x:v>
      </x:c>
      <x:c r="D23" s="30" t="s">
        <x:v>34</x:v>
      </x:c>
      <x:c r="E23" s="30"/>
      <x:c r="F23" s="30"/>
      <x:c r="G23" s="30"/>
      <x:c r="H23" s="30"/>
    </x:row>
    <x:row r="24" ht="27" customHeight="1">
      <x:c r="A24" s="1" t="s">
        <x:v>35</x:v>
      </x:c>
      <x:c r="B24" s="8">
        <x:v>0.9</x:v>
      </x:c>
      <x:c r="C24" s="8">
        <x:v>0.9</x:v>
      </x:c>
      <x:c r="D24" s="30" t="s">
        <x:v>36</x:v>
      </x:c>
      <x:c r="E24" s="30"/>
      <x:c r="F24" s="30"/>
      <x:c r="G24" s="30"/>
      <x:c r="H24" s="30"/>
    </x:row>
    <x:row r="25" ht="27" customHeight="1">
      <x:c r="A25" s="9" t="s">
        <x:v>37</x:v>
      </x:c>
      <x:c r="B25" s="10" t="n">
        <x:f>B7*(1+B23)</x:f>
        <x:v>130.385160446167</x:v>
      </x:c>
      <x:c r="C25" s="10" t="n">
        <x:f>C7*(1+C23)</x:f>
        <x:v>35.85591912269592</x:v>
      </x:c>
      <x:c r="D25" s="10"/>
      <x:c r="E25" s="10"/>
      <x:c r="F25" s="10"/>
      <x:c r="G25" s="10"/>
      <x:c r="H25" s="10"/>
    </x:row>
    <x:row r="26" ht="27" customHeight="1">
      <x:c r="A26" s="1"/>
      <x:c r="B26" s="2"/>
      <x:c r="C26" s="2"/>
      <x:c r="D26" s="2"/>
      <x:c r="E26" s="2"/>
      <x:c r="F26" s="2"/>
      <x:c r="G26" s="2"/>
      <x:c r="H26" s="2"/>
    </x:row>
    <x:row r="27" ht="27" customHeight="1">
      <x:c r="A27" s="1" t="s">
        <x:v>38</x:v>
      </x:c>
      <x:c r="B27" s="6">
        <x:v>6</x:v>
      </x:c>
      <x:c r="C27" s="6">
        <x:v>9</x:v>
      </x:c>
      <x:c r="D27" s="30" t="s">
        <x:v>39</x:v>
      </x:c>
      <x:c r="E27" s="30"/>
      <x:c r="F27" s="30"/>
      <x:c r="G27" s="30"/>
      <x:c r="H27" s="30"/>
    </x:row>
    <x:row r="28" ht="27" customHeight="1">
      <x:c r="A28" s="1" t="s">
        <x:v>40</x:v>
      </x:c>
      <x:c r="B28" s="6">
        <x:v>6</x:v>
      </x:c>
      <x:c r="C28" s="6">
        <x:v>12</x:v>
      </x:c>
      <x:c r="D28" s="30" t="s">
        <x:v>39</x:v>
      </x:c>
      <x:c r="E28" s="30"/>
      <x:c r="F28" s="30"/>
      <x:c r="G28" s="30"/>
      <x:c r="H28" s="30"/>
    </x:row>
    <x:row r="29" ht="27" customHeight="1">
      <x:c r="A29" s="1" t="s">
        <x:v>41</x:v>
      </x:c>
      <x:c r="B29" s="6">
        <x:v>6</x:v>
      </x:c>
      <x:c r="C29" s="6">
        <x:v>18</x:v>
      </x:c>
      <x:c r="D29" s="30" t="s">
        <x:v>39</x:v>
      </x:c>
      <x:c r="E29" s="30"/>
      <x:c r="F29" s="30"/>
      <x:c r="G29" s="30"/>
      <x:c r="H29" s="30"/>
    </x:row>
    <x:row r="30" ht="27" customHeight="1">
      <x:c r="A30" s="1" t="s">
        <x:v>42</x:v>
      </x:c>
      <x:c r="B30" s="2" t="n">
        <x:f>B14*B29/1024</x:f>
        <x:v>3.75</x:v>
      </x:c>
      <x:c r="C30" s="2" t="n">
        <x:f>C14*C29/1024</x:f>
        <x:v>11.25</x:v>
      </x:c>
      <x:c r="D30" s="2"/>
      <x:c r="E30" s="2"/>
      <x:c r="F30" s="2"/>
      <x:c r="G30" s="2"/>
      <x:c r="H30" s="2"/>
    </x:row>
    <x:row r="31" ht="27" customHeight="1">
      <x:c r="A31" s="9" t="s">
        <x:v>43</x:v>
      </x:c>
      <x:c r="B31" s="10" t="n">
        <x:f>SUM(B25,B30,B22)</x:f>
        <x:v>140.135160446167</x:v>
      </x:c>
      <x:c r="C31" s="10" t="n">
        <x:f>SUM(C25,C30,C22)</x:f>
        <x:v>53.10591912269592</x:v>
      </x:c>
      <x:c r="D31" s="31" t="s">
        <x:v>44</x:v>
      </x:c>
      <x:c r="E31" s="31"/>
      <x:c r="F31" s="31"/>
      <x:c r="G31" s="31"/>
      <x:c r="H31" s="31"/>
    </x:row>
    <x:row r="32" ht="27" customHeight="1">
      <x:c r="A32" s="1"/>
      <x:c r="B32" s="2"/>
      <x:c r="C32" s="2"/>
      <x:c r="D32" s="2"/>
      <x:c r="E32" s="2"/>
      <x:c r="F32" s="2"/>
      <x:c r="G32" s="2"/>
      <x:c r="H32" s="2"/>
    </x:row>
    <x:row r="33" ht="27" customHeight="1">
      <x:c r="A33" s="1"/>
      <x:c r="B33" s="2"/>
      <x:c r="C33" s="2"/>
      <x:c r="D33" s="2"/>
      <x:c r="E33" s="2"/>
      <x:c r="F33" s="2"/>
      <x:c r="G33" s="2"/>
      <x:c r="H33" s="2"/>
    </x:row>
    <x:row r="34" ht="27" customHeight="1">
      <x:c r="A34" s="1"/>
      <x:c r="B34" s="2"/>
      <x:c r="C34" s="2"/>
      <x:c r="D34" s="2"/>
      <x:c r="E34" s="2"/>
      <x:c r="F34" s="2"/>
      <x:c r="G34" s="2"/>
      <x:c r="H34" s="2"/>
    </x:row>
    <x:row r="35" ht="27" customHeight="1">
      <x:c r="A35" s="1"/>
      <x:c r="B35" s="2"/>
      <x:c r="C35" s="2"/>
      <x:c r="D35" s="2"/>
      <x:c r="E35" s="2"/>
      <x:c r="F35" s="2"/>
      <x:c r="G35" s="2"/>
      <x:c r="H35" s="2"/>
    </x:row>
    <x:row r="36" ht="27" customHeight="1">
      <x:c r="A36" s="1"/>
      <x:c r="B36" s="2"/>
      <x:c r="C36" s="2"/>
      <x:c r="D36" s="2"/>
      <x:c r="E36" s="2"/>
      <x:c r="F36" s="2"/>
      <x:c r="G36" s="2"/>
      <x:c r="H36" s="2"/>
    </x:row>
    <x:row r="37" ht="44" customHeight="1">
      <x:c r="A37" s="4" t="s">
        <x:v>45</x:v>
      </x:c>
      <x:c r="B37" s="5" t="s">
        <x:v>46</x:v>
      </x:c>
      <x:c r="C37" s="5" t="s">
        <x:v>47</x:v>
      </x:c>
      <x:c r="D37" s="5" t="s">
        <x:v>48</x:v>
      </x:c>
      <x:c r="E37" s="5" t="s">
        <x:v>49</x:v>
      </x:c>
      <x:c r="F37" s="5" t="s">
        <x:v>50</x:v>
      </x:c>
      <x:c r="G37" s="5" t="s">
        <x:v>5</x:v>
      </x:c>
      <x:c r="H37" s="5"/>
    </x:row>
    <x:row r="38" ht="27" customHeight="1">
      <x:c r="A38" s="1" t="s">
        <x:v>51</x:v>
      </x:c>
      <x:c r="B38" s="11">
        <x:v>80</x:v>
      </x:c>
      <x:c r="C38" s="12" t="n">
        <x:f>ROUNDUP($B$31/(B38*$B$24),0)</x:f>
        <x:v>2</x:v>
      </x:c>
      <x:c r="D38" s="12" t="n">
        <x:f>ROUNDUP($C$31/(B38*$C$24),0)</x:f>
        <x:v>1</x:v>
      </x:c>
      <x:c r="E38" s="12" t="n">
        <x:f t="shared" ref="E38:F40" si="0">2^ROUNDUP(LOG(MAX(1,C38),2),0)</x:f>
        <x:v>2</x:v>
      </x:c>
      <x:c r="F38" s="12">
        <x:f t="shared" si="0"/>
        <x:v>1</x:v>
      </x:c>
      <x:c r="G38" s="30" t="s">
        <x:v>52</x:v>
      </x:c>
      <x:c r="H38" s="30"/>
    </x:row>
    <x:row r="39" ht="27" customHeight="1">
      <x:c r="A39" s="1" t="s">
        <x:v>53</x:v>
      </x:c>
      <x:c r="B39" s="11">
        <x:v>16</x:v>
      </x:c>
      <x:c r="C39" s="12" t="n">
        <x:f>ROUNDUP($B$31/(B39*$B$24),0)</x:f>
        <x:v>10</x:v>
      </x:c>
      <x:c r="D39" s="12" t="n">
        <x:f>ROUNDUP($C$31/(B39*$C$24),0)</x:f>
        <x:v>4</x:v>
      </x:c>
      <x:c r="E39" s="12">
        <x:f t="shared" si="0"/>
        <x:v>16</x:v>
      </x:c>
      <x:c r="F39" s="12">
        <x:f t="shared" si="0"/>
        <x:v>4</x:v>
      </x:c>
      <x:c r="G39" s="30" t="s">
        <x:v>54</x:v>
      </x:c>
      <x:c r="H39" s="30"/>
    </x:row>
    <x:row r="40" ht="27" customHeight="1">
      <x:c r="A40" s="1" t="s">
        <x:v>55</x:v>
      </x:c>
      <x:c r="B40" s="11">
        <x:v>24</x:v>
      </x:c>
      <x:c r="C40" s="12" t="n">
        <x:f>ROUNDUP($B$31/(B40*$B$24),0)</x:f>
        <x:v>7</x:v>
      </x:c>
      <x:c r="D40" s="12" t="n">
        <x:f>ROUNDUP($C$31/(B40*$C$24),0)</x:f>
        <x:v>3</x:v>
      </x:c>
      <x:c r="E40" s="12">
        <x:f t="shared" si="0"/>
        <x:v>8</x:v>
      </x:c>
      <x:c r="F40" s="12">
        <x:f t="shared" si="0"/>
        <x:v>4</x:v>
      </x:c>
      <x:c r="G40" s="30" t="s">
        <x:v>54</x:v>
      </x:c>
      <x:c r="H40" s="30"/>
    </x:row>
    <x:row r="41" ht="27" customHeight="1">
      <x:c r="A41" s="1"/>
      <x:c r="B41" s="2"/>
      <x:c r="C41" s="2"/>
      <x:c r="D41" s="2"/>
      <x:c r="E41" s="2"/>
      <x:c r="F41" s="2"/>
      <x:c r="G41" s="2"/>
      <x:c r="H41" s="2"/>
    </x:row>
    <x:row r="42" ht="27" customHeight="1">
      <x:c r="A42" s="1"/>
      <x:c r="B42" s="2"/>
      <x:c r="C42" s="2"/>
      <x:c r="D42" s="2"/>
      <x:c r="E42" s="2"/>
      <x:c r="F42" s="2"/>
      <x:c r="G42" s="2"/>
      <x:c r="H42" s="2"/>
    </x:row>
    <x:row r="43" ht="27" customHeight="1">
      <x:c r="A43" s="1"/>
      <x:c r="B43" s="2"/>
      <x:c r="C43" s="2"/>
      <x:c r="D43" s="2"/>
      <x:c r="E43" s="2"/>
      <x:c r="F43" s="2"/>
      <x:c r="G43" s="2"/>
      <x:c r="H43" s="2"/>
    </x:row>
    <x:row r="44" ht="44" customHeight="1">
      <x:c r="A44" s="13" t="s">
        <x:v>56</x:v>
      </x:c>
      <x:c r="B44" s="14" t="s">
        <x:v>46</x:v>
      </x:c>
      <x:c r="C44" s="14" t="s">
        <x:v>57</x:v>
      </x:c>
      <x:c r="D44" s="14" t="s">
        <x:v>58</x:v>
      </x:c>
      <x:c r="E44" s="14" t="s">
        <x:v>59</x:v>
      </x:c>
      <x:c r="F44" s="14" t="s">
        <x:v>60</x:v>
      </x:c>
      <x:c r="G44" s="14" t="s">
        <x:v>61</x:v>
      </x:c>
      <x:c r="H44" s="14" t="s">
        <x:v>62</x:v>
      </x:c>
    </x:row>
    <x:row r="45" ht="27" customHeight="1">
      <x:c r="A45" s="15" t="s">
        <x:v>63</x:v>
      </x:c>
      <x:c r="B45" s="16" t="n">
        <x:f>$B$25+$B$22+$B$14*D45/1024*MAX(1,C45/$B$11)</x:f>
        <x:v>140.135160446167</x:v>
      </x:c>
      <x:c r="C45" s="17" t="n">
        <x:f>E38</x:f>
        <x:v>2</x:v>
      </x:c>
      <x:c r="D45" s="17" t="n">
        <x:f>B29</x:f>
        <x:v>6</x:v>
      </x:c>
      <x:c r="E45" s="17" t="n">
        <x:f>$B$19</x:f>
        <x:v>2</x:v>
      </x:c>
      <x:c r="F45" s="17" t="n">
        <x:f t="shared" ref="F45:F50" si="1">D45*60/E45</x:f>
        <x:v>180</x:v>
      </x:c>
      <x:c r="G45" s="17" t="n">
        <x:f>ROUNDUP($B$17/F45,0)</x:f>
        <x:v>6</x:v>
      </x:c>
      <x:c r="H45" s="17" t="n">
        <x:f t="shared" ref="H45:H50" si="2">C45*G45</x:f>
        <x:v>12</x:v>
      </x:c>
    </x:row>
    <x:row r="46" ht="27" customHeight="1">
      <x:c r="A46" s="15" t="s">
        <x:v>64</x:v>
      </x:c>
      <x:c r="B46" s="16" t="n">
        <x:f>$B$25+$B$22+$B$14*D46/1024*MAX(1,C46/$B$11)</x:f>
        <x:v>143.885160446167</x:v>
      </x:c>
      <x:c r="C46" s="17" t="n">
        <x:f>E39</x:f>
        <x:v>16</x:v>
      </x:c>
      <x:c r="D46" s="18">
        <x:v>6</x:v>
      </x:c>
      <x:c r="E46" s="17" t="n">
        <x:f>$B$19</x:f>
        <x:v>2</x:v>
      </x:c>
      <x:c r="F46" s="17">
        <x:f t="shared" si="1"/>
        <x:v>180</x:v>
      </x:c>
      <x:c r="G46" s="17" t="n">
        <x:f>ROUNDUP($B$17/F46,0)</x:f>
        <x:v>6</x:v>
      </x:c>
      <x:c r="H46" s="17">
        <x:f t="shared" si="2"/>
        <x:v>96</x:v>
      </x:c>
    </x:row>
    <x:row r="47" ht="27" customHeight="1">
      <x:c r="A47" s="15" t="s">
        <x:v>65</x:v>
      </x:c>
      <x:c r="B47" s="16" t="n">
        <x:f>$B$25+$B$22+$B$14*D47/1024*MAX(1,C47/$B$11)</x:f>
        <x:v>140.135160446167</x:v>
      </x:c>
      <x:c r="C47" s="17" t="n">
        <x:f>E40</x:f>
        <x:v>8</x:v>
      </x:c>
      <x:c r="D47" s="18">
        <x:v>6</x:v>
      </x:c>
      <x:c r="E47" s="17" t="n">
        <x:f>$B$19</x:f>
        <x:v>2</x:v>
      </x:c>
      <x:c r="F47" s="17">
        <x:f t="shared" si="1"/>
        <x:v>180</x:v>
      </x:c>
      <x:c r="G47" s="17" t="n">
        <x:f>ROUNDUP($B$17/F47,0)</x:f>
        <x:v>6</x:v>
      </x:c>
      <x:c r="H47" s="17">
        <x:f t="shared" si="2"/>
        <x:v>48</x:v>
      </x:c>
    </x:row>
    <x:row r="48" ht="27" customHeight="1">
      <x:c r="A48" s="15" t="s">
        <x:v>66</x:v>
      </x:c>
      <x:c r="B48" s="16" t="n">
        <x:f>$C$25+$C$22+$C$14*D48/1024*MAX(1,C48/$C$11)</x:f>
        <x:v>53.10591912269592</x:v>
      </x:c>
      <x:c r="C48" s="17" t="n">
        <x:f>F38</x:f>
        <x:v>1</x:v>
      </x:c>
      <x:c r="D48" s="17" t="n">
        <x:f>C29</x:f>
        <x:v>18</x:v>
      </x:c>
      <x:c r="E48" s="17" t="n">
        <x:f>$C$19</x:f>
        <x:v>2</x:v>
      </x:c>
      <x:c r="F48" s="17">
        <x:f t="shared" si="1"/>
        <x:v>540</x:v>
      </x:c>
      <x:c r="G48" s="17" t="n">
        <x:f>ROUNDUP($C$17/F48,0)</x:f>
        <x:v>2</x:v>
      </x:c>
      <x:c r="H48" s="17">
        <x:f t="shared" si="2"/>
        <x:v>2</x:v>
      </x:c>
    </x:row>
    <x:row r="49" ht="27" customHeight="1">
      <x:c r="A49" s="15" t="s">
        <x:v>67</x:v>
      </x:c>
      <x:c r="B49" s="16" t="n">
        <x:f>$C$25+$C$22+$C$14*D49/1024*MAX(1,C49/$C$11)</x:f>
        <x:v>45.60591912269592</x:v>
      </x:c>
      <x:c r="C49" s="17" t="n">
        <x:f>F39</x:f>
        <x:v>4</x:v>
      </x:c>
      <x:c r="D49" s="18">
        <x:v>6</x:v>
      </x:c>
      <x:c r="E49" s="17" t="n">
        <x:f>$C$19</x:f>
        <x:v>2</x:v>
      </x:c>
      <x:c r="F49" s="17">
        <x:f t="shared" si="1"/>
        <x:v>180</x:v>
      </x:c>
      <x:c r="G49" s="17" t="n">
        <x:f>ROUNDUP($C$17/F49,0)</x:f>
        <x:v>6</x:v>
      </x:c>
      <x:c r="H49" s="17">
        <x:f t="shared" si="2"/>
        <x:v>24</x:v>
      </x:c>
    </x:row>
    <x:row r="50" ht="27" customHeight="1">
      <x:c r="A50" s="15" t="s">
        <x:v>68</x:v>
      </x:c>
      <x:c r="B50" s="16" t="n">
        <x:f>$C$25+$C$22+$C$14*D50/1024*MAX(1,C50/$C$11)</x:f>
        <x:v>46.23091912269592</x:v>
      </x:c>
      <x:c r="C50" s="17" t="n">
        <x:f>F40</x:f>
        <x:v>4</x:v>
      </x:c>
      <x:c r="D50" s="18">
        <x:v>7</x:v>
      </x:c>
      <x:c r="E50" s="17" t="n">
        <x:f>$C$19</x:f>
        <x:v>2</x:v>
      </x:c>
      <x:c r="F50" s="17">
        <x:f t="shared" si="1"/>
        <x:v>210</x:v>
      </x:c>
      <x:c r="G50" s="17" t="n">
        <x:f>ROUNDUP($C$17/F50,0)</x:f>
        <x:v>5</x:v>
      </x:c>
      <x:c r="H50" s="17">
        <x:f t="shared" si="2"/>
        <x:v>20</x:v>
      </x:c>
    </x:row>
    <x:row r="51" ht="27" customHeight="1">
      <x:c r="A51" s="1"/>
      <x:c r="B51" s="2"/>
      <x:c r="C51" s="2"/>
      <x:c r="D51" s="2"/>
      <x:c r="E51" s="2"/>
      <x:c r="F51" s="2"/>
      <x:c r="G51" s="2"/>
      <x:c r="H51" s="2"/>
    </x:row>
    <x:row r="52" ht="27" customHeight="1">
      <x:c r="A52" s="1"/>
      <x:c r="B52" s="2"/>
      <x:c r="C52" s="2"/>
      <x:c r="D52" s="2"/>
      <x:c r="E52" s="2"/>
      <x:c r="F52" s="2"/>
      <x:c r="G52" s="2"/>
      <x:c r="H52" s="2"/>
    </x:row>
    <x:row r="53" ht="40" customHeight="1">
      <x:c r="A53" s="29" t="s">
        <x:v>69</x:v>
      </x:c>
      <x:c r="B53" s="30"/>
      <x:c r="C53" s="30"/>
      <x:c r="D53" s="30"/>
      <x:c r="E53" s="30"/>
      <x:c r="F53" s="30"/>
      <x:c r="G53" s="30"/>
      <x:c r="H53" s="30"/>
    </x:row>
    <x:row r="54" ht="40" customHeight="1">
      <x:c r="A54" s="29" t="s">
        <x:v>70</x:v>
      </x:c>
      <x:c r="B54" s="30"/>
      <x:c r="C54" s="30"/>
      <x:c r="D54" s="30"/>
      <x:c r="E54" s="30"/>
      <x:c r="F54" s="30"/>
      <x:c r="G54" s="30"/>
      <x:c r="H54" s="30"/>
    </x:row>
    <x:row r="55" ht="40" customHeight="1">
      <x:c r="A55" s="34" t="str">
        <x:v>У T4 FP16 при TP16 учтено дублирование KV-голов.</x:v>
      </x:c>
      <x:c r="B55" s="30"/>
      <x:c r="C55" s="30"/>
      <x:c r="D55" s="30"/>
      <x:c r="E55" s="30"/>
      <x:c r="F55" s="30"/>
      <x:c r="G55" s="30"/>
      <x:c r="H55" s="30"/>
    </x:row>
    <x:row r="56" ht="40" customHeight="1">
      <x:c r="A56" s="29"/>
      <x:c r="B56" s="30"/>
      <x:c r="C56" s="30"/>
      <x:c r="D56" s="30"/>
      <x:c r="E56" s="30"/>
      <x:c r="F56" s="30"/>
      <x:c r="G56" s="30"/>
      <x:c r="H56" s="30"/>
    </x:row>
    <x:row r="57" ht="27" customHeight="1">
      <x:c r="A57" s="1"/>
      <x:c r="B57" s="2"/>
      <x:c r="C57" s="2"/>
      <x:c r="D57" s="2"/>
      <x:c r="E57" s="2"/>
      <x:c r="F57" s="2"/>
      <x:c r="G57" s="2"/>
      <x:c r="H57" s="2"/>
      <x:c r="I57" s="2"/>
    </x:row>
    <x:row r="58" ht="27" customHeight="1">
      <x:c r="A58" s="1"/>
      <x:c r="B58" s="2"/>
      <x:c r="C58" s="2"/>
      <x:c r="D58" s="2"/>
      <x:c r="E58" s="2"/>
      <x:c r="F58" s="2"/>
      <x:c r="G58" s="2"/>
      <x:c r="H58" s="2"/>
      <x:c r="I58" s="2"/>
    </x:row>
    <x:row r="59" ht="27" customHeight="1">
      <x:c r="A59" s="1"/>
      <x:c r="B59" s="2"/>
      <x:c r="C59" s="2"/>
      <x:c r="D59" s="2"/>
      <x:c r="E59" s="2"/>
      <x:c r="F59" s="2"/>
      <x:c r="G59" s="2"/>
      <x:c r="H59" s="2"/>
      <x:c r="I59" s="2"/>
    </x:row>
    <x:row r="60" ht="27" customHeight="1">
      <x:c r="A60" s="1"/>
      <x:c r="B60" s="2"/>
      <x:c r="C60" s="2"/>
      <x:c r="D60" s="2"/>
      <x:c r="E60" s="2"/>
      <x:c r="F60" s="2"/>
      <x:c r="G60" s="2"/>
      <x:c r="H60" s="2"/>
      <x:c r="I60" s="2"/>
    </x:row>
    <x:row r="61" ht="27" customHeight="1">
      <x:c r="A61" s="1"/>
      <x:c r="B61" s="2"/>
      <x:c r="C61" s="2"/>
      <x:c r="D61" s="2"/>
      <x:c r="E61" s="2"/>
      <x:c r="F61" s="2"/>
      <x:c r="G61" s="2"/>
      <x:c r="H61" s="2"/>
      <x:c r="I61" s="2"/>
    </x:row>
    <x:row r="62" ht="27" customHeight="1">
      <x:c r="A62" s="1"/>
      <x:c r="B62" s="2"/>
      <x:c r="C62" s="2"/>
      <x:c r="D62" s="2"/>
      <x:c r="E62" s="2"/>
      <x:c r="F62" s="2"/>
      <x:c r="G62" s="2"/>
      <x:c r="H62" s="2"/>
      <x:c r="I62" s="2"/>
    </x:row>
    <x:row r="63" ht="27" customHeight="1">
      <x:c r="A63" s="1"/>
      <x:c r="B63" s="2"/>
      <x:c r="C63" s="2"/>
      <x:c r="D63" s="2"/>
      <x:c r="E63" s="2"/>
      <x:c r="F63" s="2"/>
      <x:c r="G63" s="2"/>
      <x:c r="H63" s="2"/>
      <x:c r="I63" s="2"/>
    </x:row>
    <x:row r="64" ht="27" customHeight="1">
      <x:c r="A64" s="1"/>
      <x:c r="B64" s="2"/>
      <x:c r="C64" s="2"/>
      <x:c r="D64" s="2"/>
      <x:c r="E64" s="2"/>
      <x:c r="F64" s="2"/>
      <x:c r="G64" s="2"/>
      <x:c r="H64" s="2"/>
      <x:c r="I64" s="2"/>
    </x:row>
    <x:row r="65" ht="27" customHeight="1">
      <x:c r="A65" s="1"/>
      <x:c r="B65" s="2"/>
      <x:c r="C65" s="2"/>
      <x:c r="D65" s="2"/>
      <x:c r="E65" s="2"/>
      <x:c r="F65" s="2"/>
      <x:c r="G65" s="2"/>
      <x:c r="H65" s="2"/>
      <x:c r="I65" s="2"/>
    </x:row>
  </x:sheetData>
  <x:mergeCells>
    <x:mergeCell ref="A1:H1"/>
    <x:mergeCell ref="A2:H2"/>
    <x:mergeCell ref="D4:H4"/>
    <x:mergeCell ref="D5:H5"/>
    <x:mergeCell ref="D6:H6"/>
    <x:mergeCell ref="D9:H9"/>
    <x:mergeCell ref="D10:H10"/>
    <x:mergeCell ref="D11:H11"/>
    <x:mergeCell ref="D12:H12"/>
    <x:mergeCell ref="D13:H13"/>
    <x:mergeCell ref="D27:H27"/>
    <x:mergeCell ref="D28:H28"/>
    <x:mergeCell ref="D29:H29"/>
    <x:mergeCell ref="D14:H14"/>
    <x:mergeCell ref="D20:H20"/>
    <x:mergeCell ref="D17:H17"/>
    <x:mergeCell ref="D19:H19"/>
    <x:mergeCell ref="D22:H22"/>
    <x:mergeCell ref="D23:H23"/>
    <x:mergeCell ref="D24:H24"/>
    <x:mergeCell ref="A54:H54"/>
    <x:mergeCell ref="A55:H55"/>
    <x:mergeCell ref="A56:H56"/>
    <x:mergeCell ref="D31:H31"/>
    <x:mergeCell ref="G38:H38"/>
    <x:mergeCell ref="G39:H39"/>
    <x:mergeCell ref="G40:H40"/>
    <x:mergeCell ref="A53:H5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10" defaultColWidth="8.83203125" defaultRowHeight="15"/>
  <x:cols>
    <x:col min="1" max="1" width="35.5" customWidth="1"/>
    <x:col min="2" max="4" width="12.5" customWidth="1"/>
    <x:col min="5" max="5" width="23.33203125" customWidth="1"/>
    <x:col min="6" max="9" width="12.5" customWidth="1"/>
  </x:cols>
  <x:sheetData>
    <x:row r="1" ht="27" customHeight="1">
      <x:c r="A1" s="32" t="s">
        <x:v>71</x:v>
      </x:c>
      <x:c r="B1" s="30"/>
      <x:c r="C1" s="30"/>
      <x:c r="D1" s="30"/>
      <x:c r="E1" s="30"/>
      <x:c r="F1" s="30"/>
      <x:c r="G1" s="30"/>
      <x:c r="H1" s="30"/>
      <x:c r="I1" s="2"/>
    </x:row>
    <x:row r="2" ht="27" customHeight="1">
      <x:c r="A2" s="29" t="s">
        <x:v>72</x:v>
      </x:c>
      <x:c r="B2" s="30"/>
      <x:c r="C2" s="30"/>
      <x:c r="D2" s="30"/>
      <x:c r="E2" s="30"/>
      <x:c r="F2" s="30"/>
      <x:c r="G2" s="30"/>
      <x:c r="H2" s="30"/>
      <x:c r="I2" s="2"/>
    </x:row>
    <x:row r="3" ht="27" customHeight="1">
      <x:c r="A3" s="1"/>
      <x:c r="B3" s="2"/>
      <x:c r="C3" s="2"/>
      <x:c r="D3" s="2"/>
      <x:c r="E3" s="2"/>
      <x:c r="F3" s="2"/>
      <x:c r="G3" s="2"/>
      <x:c r="H3" s="2"/>
      <x:c r="I3" s="2"/>
    </x:row>
    <x:row r="4" ht="44" customHeight="1">
      <x:c r="A4" s="4" t="s">
        <x:v>2</x:v>
      </x:c>
      <x:c r="B4" s="5" t="s">
        <x:v>73</x:v>
      </x:c>
      <x:c r="C4" s="5" t="s">
        <x:v>74</x:v>
      </x:c>
      <x:c r="D4" s="5" t="s">
        <x:v>75</x:v>
      </x:c>
      <x:c r="E4" s="5" t="s">
        <x:v>5</x:v>
      </x:c>
      <x:c r="G4" s="2"/>
      <x:c r="H4" s="2"/>
      <x:c r="I4" s="2"/>
    </x:row>
    <x:row r="5" ht="36" customHeight="1">
      <x:c r="A5" s="1" t="s">
        <x:v>76</x:v>
      </x:c>
      <x:c r="B5" s="19">
        <x:v>408.12</x:v>
      </x:c>
      <x:c r="C5" s="2"/>
      <x:c r="D5" s="2" t="s">
        <x:v>77</x:v>
      </x:c>
      <x:c r="E5" s="3" t="s">
        <x:v>78</x:v>
      </x:c>
      <x:c r="G5" s="2"/>
      <x:c r="H5" s="2"/>
      <x:c r="I5" s="2"/>
    </x:row>
    <x:row r="6" ht="36" customHeight="1">
      <x:c r="A6" s="1" t="s">
        <x:v>79</x:v>
      </x:c>
      <x:c r="B6" s="19">
        <x:v>0.98819999999999997</x:v>
      </x:c>
      <x:c r="C6" s="2"/>
      <x:c r="D6" s="2" t="s">
        <x:v>77</x:v>
      </x:c>
      <x:c r="E6" s="3" t="s">
        <x:v>80</x:v>
      </x:c>
      <x:c r="G6" s="2"/>
      <x:c r="H6" s="2"/>
      <x:c r="I6" s="2"/>
    </x:row>
    <x:row r="7" ht="36" customHeight="1">
      <x:c r="A7" s="1" t="s">
        <x:v>81</x:v>
      </x:c>
      <x:c r="B7" s="19">
        <x:v>0.30740000000000001</x:v>
      </x:c>
      <x:c r="C7" s="2"/>
      <x:c r="D7" s="2" t="s">
        <x:v>77</x:v>
      </x:c>
      <x:c r="E7" s="3" t="s">
        <x:v>82</x:v>
      </x:c>
      <x:c r="G7" s="2"/>
      <x:c r="H7" s="2"/>
      <x:c r="I7" s="2"/>
    </x:row>
    <x:row r="8" ht="36" customHeight="1">
      <x:c r="A8" s="1" t="s">
        <x:v>83</x:v>
      </x:c>
      <x:c r="B8" s="6">
        <x:v>56</x:v>
      </x:c>
      <x:c r="C8" s="6">
        <x:v>24</x:v>
      </x:c>
      <x:c r="D8" s="2" t="s">
        <x:v>84</x:v>
      </x:c>
      <x:c r="E8" s="3" t="s">
        <x:v>85</x:v>
      </x:c>
      <x:c r="G8" s="2"/>
      <x:c r="H8" s="2"/>
      <x:c r="I8" s="2"/>
    </x:row>
    <x:row r="9" ht="36" customHeight="1">
      <x:c r="A9" s="1" t="s">
        <x:v>86</x:v>
      </x:c>
      <x:c r="B9" s="6">
        <x:v>238</x:v>
      </x:c>
      <x:c r="C9" s="6">
        <x:v>192</x:v>
      </x:c>
      <x:c r="D9" s="2" t="s">
        <x:v>87</x:v>
      </x:c>
      <x:c r="E9" s="3" t="s">
        <x:v>85</x:v>
      </x:c>
      <x:c r="G9" s="2"/>
      <x:c r="H9" s="2"/>
      <x:c r="I9" s="2"/>
    </x:row>
    <x:row r="10" ht="36" customHeight="1">
      <x:c r="A10" s="1" t="s">
        <x:v>88</x:v>
      </x:c>
      <x:c r="B10" s="6">
        <x:v>200</x:v>
      </x:c>
      <x:c r="C10" s="6">
        <x:v>200</x:v>
      </x:c>
      <x:c r="D10" s="2" t="s">
        <x:v>87</x:v>
      </x:c>
      <x:c r="E10" s="3" t="s">
        <x:v>89</x:v>
      </x:c>
      <x:c r="G10" s="2"/>
      <x:c r="H10" s="2"/>
      <x:c r="I10" s="2"/>
    </x:row>
    <x:row r="11" ht="36" customHeight="1">
      <x:c r="A11" s="1" t="s">
        <x:v>90</x:v>
      </x:c>
      <x:c r="B11" s="19">
        <x:v>1.9900000000000001E-2</x:v>
      </x:c>
      <x:c r="C11" s="2"/>
      <x:c r="D11" s="2" t="s">
        <x:v>77</x:v>
      </x:c>
      <x:c r="E11" s="3" t="s">
        <x:v>91</x:v>
      </x:c>
      <x:c r="G11" s="2"/>
      <x:c r="H11" s="2"/>
      <x:c r="I11" s="2"/>
    </x:row>
    <x:row r="12" ht="36" customHeight="1">
      <x:c r="A12" s="1" t="s">
        <x:v>92</x:v>
      </x:c>
      <x:c r="B12" s="20"/>
      <x:c r="C12" s="6">
        <x:v>553758</x:v>
      </x:c>
      <x:c r="D12" s="2" t="s">
        <x:v>93</x:v>
      </x:c>
      <x:c r="E12" s="3" t="s">
        <x:v>94</x:v>
      </x:c>
      <x:c r="G12" s="2"/>
      <x:c r="H12" s="2"/>
      <x:c r="I12" s="2"/>
    </x:row>
    <x:row r="13" ht="36" customHeight="1">
      <x:c r="A13" s="1" t="s">
        <x:v>95</x:v>
      </x:c>
      <x:c r="B13" s="2"/>
      <x:c r="C13" s="19">
        <x:v>13.42</x:v>
      </x:c>
      <x:c r="D13" s="2" t="s">
        <x:v>96</x:v>
      </x:c>
      <x:c r="E13" s="3" t="s">
        <x:v>74</x:v>
      </x:c>
      <x:c r="G13" s="2"/>
      <x:c r="H13" s="2"/>
      <x:c r="I13" s="2"/>
    </x:row>
    <x:row r="14" ht="36" customHeight="1">
      <x:c r="A14" s="1" t="s">
        <x:v>97</x:v>
      </x:c>
      <x:c r="B14" s="6">
        <x:v>720</x:v>
      </x:c>
      <x:c r="C14" s="6">
        <x:v>720</x:v>
      </x:c>
      <x:c r="D14" s="2" t="s">
        <x:v>98</x:v>
      </x:c>
      <x:c r="E14" s="3" t="s">
        <x:v>99</x:v>
      </x:c>
      <x:c r="G14" s="2"/>
      <x:c r="H14" s="2"/>
      <x:c r="I14" s="2"/>
    </x:row>
    <x:row r="15" ht="36" customHeight="1">
      <x:c r="A15" s="1" t="s">
        <x:v>100</x:v>
      </x:c>
      <x:c r="B15" s="6">
        <x:v>2</x:v>
      </x:c>
      <x:c r="C15" s="6">
        <x:v>2</x:v>
      </x:c>
      <x:c r="D15" s="2" t="s">
        <x:v>84</x:v>
      </x:c>
      <x:c r="E15" s="3" t="s">
        <x:v>101</x:v>
      </x:c>
      <x:c r="G15" s="2"/>
      <x:c r="H15" s="2"/>
      <x:c r="I15" s="2"/>
    </x:row>
    <x:row r="16" ht="27" customHeight="1">
      <x:c r="A16" s="1"/>
      <x:c r="B16" s="2"/>
      <x:c r="C16" s="2"/>
      <x:c r="D16" s="2"/>
      <x:c r="E16" s="2"/>
      <x:c r="F16" s="2"/>
      <x:c r="G16" s="2"/>
      <x:c r="H16" s="2"/>
      <x:c r="I16" s="2"/>
    </x:row>
    <x:row r="17" ht="27" customHeight="1">
      <x:c r="A17" s="1" t="s">
        <x:v>102</x:v>
      </x:c>
      <x:c r="B17" s="21" t="n">
        <x:f>($B$5*$B$15+$B$6*$B$8+$B$7*$B$9+$B$10*$B$11)*$B$14</x:f>
        <x:v>683078.6880000001</x:v>
      </x:c>
      <x:c r="C17" s="21" t="n">
        <x:f>$C$12+$C$10*$C$13</x:f>
        <x:v>556442</x:v>
      </x:c>
      <x:c r="D17" s="2"/>
      <x:c r="E17" s="2"/>
      <x:c r="F17" s="2"/>
      <x:c r="G17" s="2"/>
      <x:c r="H17" s="2"/>
      <x:c r="I17" s="2"/>
    </x:row>
    <x:row r="18" ht="27" customHeight="1">
      <x:c r="A18" s="1"/>
      <x:c r="B18" s="2"/>
      <x:c r="C18" s="2"/>
      <x:c r="D18" s="2"/>
      <x:c r="E18" s="2"/>
      <x:c r="F18" s="2"/>
      <x:c r="G18" s="2"/>
      <x:c r="H18" s="2"/>
      <x:c r="I18" s="2"/>
    </x:row>
    <x:row r="19" ht="27" customHeight="1">
      <x:c r="A19" s="1"/>
      <x:c r="B19" s="2"/>
      <x:c r="C19" s="2"/>
      <x:c r="D19" s="2"/>
      <x:c r="E19" s="2"/>
      <x:c r="F19" s="2"/>
      <x:c r="G19" s="2"/>
      <x:c r="H19" s="2"/>
      <x:c r="I19" s="2"/>
    </x:row>
    <x:row r="20" ht="44" customHeight="1">
      <x:c r="A20" s="13" t="s">
        <x:v>56</x:v>
      </x:c>
      <x:c r="B20" s="14" t="s">
        <x:v>62</x:v>
      </x:c>
      <x:c r="C20" s="14" t="s">
        <x:v>103</x:v>
      </x:c>
      <x:c r="D20" s="14" t="s">
        <x:v>104</x:v>
      </x:c>
      <x:c r="E20" s="14" t="s">
        <x:v>105</x:v>
      </x:c>
      <x:c r="F20" s="2"/>
      <x:c r="G20" s="2"/>
      <x:c r="H20" s="2"/>
      <x:c r="I20" s="2"/>
    </x:row>
    <x:row r="21" ht="27" customHeight="1">
      <x:c r="A21" s="15" t="s">
        <x:v>63</x:v>
      </x:c>
      <x:c r="B21" s="17" t="n">
        <x:f>Ресурсы!H45</x:f>
        <x:v>12</x:v>
      </x:c>
      <x:c r="C21" s="17" t="n">
        <x:f>ROUNDUP(B21/$B$15,0)</x:f>
        <x:v>6</x:v>
      </x:c>
      <x:c r="D21" s="23" t="n">
        <x:f>C21*$B$17</x:f>
        <x:v>4098472.1280000005</x:v>
      </x:c>
      <x:c r="E21" s="23" t="n">
        <x:f>C21*$C$17</x:f>
        <x:v>3338652</x:v>
      </x:c>
      <x:c r="F21" s="2"/>
      <x:c r="G21" s="2"/>
      <x:c r="H21" s="2"/>
      <x:c r="I21" s="2"/>
    </x:row>
    <x:row r="22" ht="27" customHeight="1">
      <x:c r="A22" s="15" t="s">
        <x:v>106</x:v>
      </x:c>
      <x:c r="B22" s="17" t="n">
        <x:f>ROUNDUP(Ресурсы!C20/Ресурсы!C27,0)*Ресурсы!F38</x:f>
        <x:v>4</x:v>
      </x:c>
      <x:c r="C22" s="17" t="n">
        <x:f>ROUNDUP(B22/$B$15,0)</x:f>
        <x:v>2</x:v>
      </x:c>
      <x:c r="D22" s="23" t="n">
        <x:f>C22*$B$17</x:f>
        <x:v>1366157.3760000002</x:v>
      </x:c>
      <x:c r="E22" s="23" t="n">
        <x:f>C22*$C$17</x:f>
        <x:v>1112884</x:v>
      </x:c>
      <x:c r="F22" s="2"/>
      <x:c r="G22" s="2"/>
      <x:c r="H22" s="2"/>
      <x:c r="I22" s="2"/>
    </x:row>
    <x:row r="23" ht="27" customHeight="1">
      <x:c r="A23" s="24" t="s">
        <x:v>107</x:v>
      </x:c>
      <x:c r="B23" s="25" t="n">
        <x:f>Ресурсы!H48</x:f>
        <x:v>2</x:v>
      </x:c>
      <x:c r="C23" s="25" t="n">
        <x:f>ROUNDUP(B23/$B$15,0)</x:f>
        <x:v>1</x:v>
      </x:c>
      <x:c r="D23" s="26" t="n">
        <x:f>C23*$B$17</x:f>
        <x:v>683078.6880000001</x:v>
      </x:c>
      <x:c r="E23" s="26" t="n">
        <x:f>C23*$C$17</x:f>
        <x:v>556442</x:v>
      </x:c>
      <x:c r="F23" s="2"/>
      <x:c r="G23" s="2"/>
      <x:c r="H23" s="2"/>
      <x:c r="I23" s="2"/>
    </x:row>
    <x:row r="24" ht="27" customHeight="1">
      <x:c r="A24" s="1"/>
      <x:c r="B24" s="2"/>
      <x:c r="C24" s="2"/>
      <x:c r="D24" s="2"/>
      <x:c r="E24" s="2"/>
      <x:c r="F24" s="2"/>
      <x:c r="G24" s="2"/>
      <x:c r="H24" s="2"/>
      <x:c r="I24" s="2"/>
    </x:row>
    <x:row r="25" ht="27" customHeight="1">
      <x:c r="A25" s="1" t="s">
        <x:v>108</x:v>
      </x:c>
      <x:c r="B25" s="22" t="n">
        <x:f>1-E23/D23</x:f>
        <x:v>0.18539106873731082</x:v>
      </x:c>
      <x:c r="C25" s="2"/>
      <x:c r="D25" s="2"/>
      <x:c r="E25" s="2"/>
      <x:c r="F25" s="2"/>
      <x:c r="G25" s="2"/>
      <x:c r="H25" s="2"/>
      <x:c r="I25" s="2"/>
    </x:row>
    <x:row r="26" ht="27" customHeight="1">
      <x:c r="A26" s="1"/>
      <x:c r="B26" s="2"/>
      <x:c r="C26" s="2"/>
      <x:c r="D26" s="2"/>
      <x:c r="E26" s="2"/>
      <x:c r="F26" s="2"/>
      <x:c r="G26" s="2"/>
      <x:c r="H26" s="2"/>
      <x:c r="I26" s="2"/>
    </x:row>
    <x:row r="27" ht="27" customHeight="1">
      <x:c r="A27" s="1"/>
      <x:c r="B27" s="2"/>
      <x:c r="C27" s="2"/>
      <x:c r="D27" s="2"/>
      <x:c r="E27" s="2"/>
      <x:c r="F27" s="2"/>
      <x:c r="G27" s="2"/>
      <x:c r="H27" s="2"/>
      <x:c r="I27" s="2"/>
    </x:row>
    <x:row r="28" ht="40" customHeight="1">
      <x:c r="A28" s="29" t="s">
        <x:v>109</x:v>
      </x:c>
      <x:c r="B28" s="30"/>
      <x:c r="C28" s="30"/>
      <x:c r="D28" s="30"/>
      <x:c r="E28" s="30"/>
      <x:c r="F28" s="2"/>
      <x:c r="G28" s="2"/>
      <x:c r="H28" s="2"/>
      <x:c r="I28" s="2"/>
    </x:row>
    <x:row r="29" ht="40" customHeight="1">
      <x:c r="A29" s="29"/>
      <x:c r="B29" s="30"/>
      <x:c r="C29" s="30"/>
      <x:c r="D29" s="30"/>
      <x:c r="E29" s="30"/>
      <x:c r="F29" s="2"/>
      <x:c r="G29" s="2"/>
      <x:c r="H29" s="2"/>
      <x:c r="I29" s="2"/>
    </x:row>
    <x:row r="30" ht="27" customHeight="1">
      <x:c r="A30" s="1"/>
      <x:c r="B30" s="2"/>
      <x:c r="C30" s="2"/>
      <x:c r="D30" s="2"/>
      <x:c r="E30" s="2"/>
      <x:c r="F30" s="2"/>
      <x:c r="G30" s="2"/>
      <x:c r="H30" s="2"/>
      <x:c r="I30" s="2"/>
    </x:row>
    <x:row r="31" ht="27" customHeight="1">
      <x:c r="A31" s="1"/>
      <x:c r="B31" s="2"/>
      <x:c r="C31" s="2"/>
      <x:c r="D31" s="2"/>
      <x:c r="E31" s="2"/>
      <x:c r="F31" s="2"/>
      <x:c r="G31" s="2"/>
      <x:c r="H31" s="2"/>
      <x:c r="I31" s="2"/>
    </x:row>
    <x:row r="32" ht="27" customHeight="1">
      <x:c r="A32" s="1"/>
      <x:c r="B32" s="2"/>
      <x:c r="C32" s="2"/>
      <x:c r="D32" s="2"/>
      <x:c r="E32" s="2"/>
      <x:c r="F32" s="2"/>
      <x:c r="G32" s="2"/>
      <x:c r="H32" s="2"/>
      <x:c r="I32" s="2"/>
    </x:row>
    <x:row r="33" ht="27" customHeight="1">
      <x:c r="A33" s="1"/>
      <x:c r="B33" s="2"/>
      <x:c r="C33" s="2"/>
      <x:c r="D33" s="2"/>
      <x:c r="E33" s="2"/>
      <x:c r="F33" s="2"/>
      <x:c r="G33" s="2"/>
      <x:c r="H33" s="2"/>
      <x:c r="I33" s="2"/>
    </x:row>
    <x:row r="34" ht="27" customHeight="1">
      <x:c r="A34" s="1"/>
      <x:c r="B34" s="2"/>
      <x:c r="C34" s="2"/>
      <x:c r="D34" s="2"/>
      <x:c r="E34" s="2"/>
      <x:c r="F34" s="2"/>
      <x:c r="G34" s="2"/>
      <x:c r="H34" s="2"/>
      <x:c r="I34" s="2"/>
    </x:row>
    <x:row r="35" ht="27" customHeight="1">
      <x:c r="A35" s="1"/>
      <x:c r="B35" s="2"/>
      <x:c r="C35" s="2"/>
      <x:c r="D35" s="2"/>
      <x:c r="E35" s="2"/>
      <x:c r="F35" s="2"/>
      <x:c r="G35" s="2"/>
      <x:c r="H35" s="2"/>
      <x:c r="I35" s="2"/>
    </x:row>
    <x:row r="36" ht="27" customHeight="1">
      <x:c r="A36" s="1"/>
      <x:c r="B36" s="2"/>
      <x:c r="C36" s="2"/>
      <x:c r="D36" s="2"/>
      <x:c r="E36" s="2"/>
      <x:c r="F36" s="2"/>
      <x:c r="G36" s="2"/>
      <x:c r="H36" s="2"/>
      <x:c r="I36" s="2"/>
    </x:row>
    <x:row r="37" ht="27" customHeight="1">
      <x:c r="A37" s="1"/>
      <x:c r="B37" s="2"/>
      <x:c r="C37" s="2"/>
      <x:c r="D37" s="2"/>
      <x:c r="E37" s="2"/>
      <x:c r="F37" s="2"/>
      <x:c r="G37" s="2"/>
      <x:c r="H37" s="2"/>
      <x:c r="I37" s="2"/>
    </x:row>
    <x:row r="38" ht="27" customHeight="1">
      <x:c r="A38" s="1"/>
      <x:c r="B38" s="2"/>
      <x:c r="C38" s="2"/>
      <x:c r="D38" s="2"/>
      <x:c r="E38" s="2"/>
      <x:c r="F38" s="2"/>
      <x:c r="G38" s="2"/>
      <x:c r="H38" s="2"/>
      <x:c r="I38" s="2"/>
    </x:row>
    <x:row r="39" ht="27" customHeight="1">
      <x:c r="A39" s="1"/>
      <x:c r="B39" s="2"/>
      <x:c r="C39" s="2"/>
      <x:c r="D39" s="2"/>
      <x:c r="E39" s="2"/>
      <x:c r="F39" s="2"/>
      <x:c r="G39" s="2"/>
      <x:c r="H39" s="2"/>
      <x:c r="I39" s="2"/>
    </x:row>
    <x:row r="40" ht="27" customHeight="1">
      <x:c r="A40" s="1"/>
      <x:c r="B40" s="2"/>
      <x:c r="C40" s="2"/>
      <x:c r="D40" s="2"/>
      <x:c r="E40" s="2"/>
      <x:c r="F40" s="2"/>
      <x:c r="G40" s="2"/>
      <x:c r="H40" s="2"/>
      <x:c r="I40" s="2"/>
    </x:row>
    <x:row r="41" ht="27" customHeight="1">
      <x:c r="A41" s="1"/>
      <x:c r="B41" s="2"/>
      <x:c r="C41" s="2"/>
      <x:c r="D41" s="2"/>
      <x:c r="E41" s="2"/>
      <x:c r="F41" s="2"/>
      <x:c r="G41" s="2"/>
      <x:c r="H41" s="2"/>
      <x:c r="I41" s="2"/>
    </x:row>
    <x:row r="42" ht="27" customHeight="1">
      <x:c r="A42" s="1"/>
      <x:c r="B42" s="2"/>
      <x:c r="C42" s="2"/>
      <x:c r="D42" s="2"/>
      <x:c r="E42" s="2"/>
      <x:c r="F42" s="2"/>
      <x:c r="G42" s="2"/>
      <x:c r="H42" s="2"/>
      <x:c r="I42" s="2"/>
    </x:row>
    <x:row r="43" ht="27" customHeight="1">
      <x:c r="A43" s="1"/>
      <x:c r="B43" s="2"/>
      <x:c r="C43" s="2"/>
      <x:c r="D43" s="2"/>
      <x:c r="E43" s="2"/>
      <x:c r="F43" s="2"/>
      <x:c r="G43" s="2"/>
      <x:c r="H43" s="2"/>
      <x:c r="I43" s="2"/>
    </x:row>
    <x:row r="44" ht="27" customHeight="1">
      <x:c r="A44" s="1"/>
      <x:c r="B44" s="2"/>
      <x:c r="C44" s="2"/>
      <x:c r="D44" s="2"/>
      <x:c r="E44" s="2"/>
      <x:c r="F44" s="2"/>
      <x:c r="G44" s="2"/>
      <x:c r="H44" s="2"/>
      <x:c r="I44" s="2"/>
    </x:row>
    <x:row r="45" ht="27" customHeight="1">
      <x:c r="A45" s="1"/>
      <x:c r="B45" s="2"/>
      <x:c r="C45" s="2"/>
      <x:c r="D45" s="2"/>
      <x:c r="E45" s="2"/>
      <x:c r="F45" s="2"/>
      <x:c r="G45" s="2"/>
      <x:c r="H45" s="2"/>
      <x:c r="I45" s="2"/>
    </x:row>
    <x:row r="46" ht="27" customHeight="1">
      <x:c r="A46" s="1"/>
      <x:c r="B46" s="2"/>
      <x:c r="C46" s="2"/>
      <x:c r="D46" s="2"/>
      <x:c r="E46" s="2"/>
      <x:c r="F46" s="2"/>
      <x:c r="G46" s="2"/>
      <x:c r="H46" s="2"/>
      <x:c r="I46" s="2"/>
    </x:row>
    <x:row r="47" ht="27" customHeight="1">
      <x:c r="A47" s="1"/>
      <x:c r="B47" s="2"/>
      <x:c r="C47" s="2"/>
      <x:c r="D47" s="2"/>
      <x:c r="E47" s="2"/>
      <x:c r="F47" s="2"/>
      <x:c r="G47" s="2"/>
      <x:c r="H47" s="2"/>
      <x:c r="I47" s="2"/>
    </x:row>
    <x:row r="48" ht="27" customHeight="1">
      <x:c r="A48" s="1"/>
      <x:c r="B48" s="2"/>
      <x:c r="C48" s="2"/>
      <x:c r="D48" s="2"/>
      <x:c r="E48" s="2"/>
      <x:c r="F48" s="2"/>
      <x:c r="G48" s="2"/>
      <x:c r="H48" s="2"/>
      <x:c r="I48" s="2"/>
    </x:row>
    <x:row r="49" ht="27" customHeight="1">
      <x:c r="A49" s="1"/>
      <x:c r="B49" s="2"/>
      <x:c r="C49" s="2"/>
      <x:c r="D49" s="2"/>
      <x:c r="E49" s="2"/>
      <x:c r="F49" s="2"/>
      <x:c r="G49" s="2"/>
      <x:c r="H49" s="2"/>
      <x:c r="I49" s="2"/>
    </x:row>
    <x:row r="50" ht="27" customHeight="1">
      <x:c r="A50" s="1"/>
      <x:c r="B50" s="2"/>
      <x:c r="C50" s="2"/>
      <x:c r="D50" s="2"/>
      <x:c r="E50" s="2"/>
      <x:c r="F50" s="2"/>
      <x:c r="G50" s="2"/>
      <x:c r="H50" s="2"/>
      <x:c r="I50" s="2"/>
    </x:row>
    <x:row r="51" ht="27" customHeight="1">
      <x:c r="A51" s="1"/>
      <x:c r="B51" s="2"/>
      <x:c r="C51" s="2"/>
      <x:c r="D51" s="2"/>
      <x:c r="E51" s="2"/>
      <x:c r="F51" s="2"/>
      <x:c r="G51" s="2"/>
      <x:c r="H51" s="2"/>
      <x:c r="I51" s="2"/>
    </x:row>
    <x:row r="52" ht="27" customHeight="1">
      <x:c r="A52" s="1"/>
      <x:c r="B52" s="2"/>
      <x:c r="C52" s="2"/>
      <x:c r="D52" s="2"/>
      <x:c r="E52" s="2"/>
      <x:c r="F52" s="2"/>
      <x:c r="G52" s="2"/>
      <x:c r="H52" s="2"/>
      <x:c r="I52" s="2"/>
    </x:row>
    <x:row r="53" ht="27" customHeight="1">
      <x:c r="A53" s="1"/>
      <x:c r="B53" s="2"/>
      <x:c r="C53" s="2"/>
      <x:c r="D53" s="2"/>
      <x:c r="E53" s="2"/>
      <x:c r="F53" s="2"/>
      <x:c r="G53" s="2"/>
      <x:c r="H53" s="2"/>
      <x:c r="I53" s="2"/>
    </x:row>
    <x:row r="54" ht="27" customHeight="1">
      <x:c r="A54" s="1"/>
      <x:c r="B54" s="2"/>
      <x:c r="C54" s="2"/>
      <x:c r="D54" s="2"/>
      <x:c r="E54" s="2"/>
      <x:c r="F54" s="2"/>
      <x:c r="G54" s="2"/>
      <x:c r="H54" s="2"/>
      <x:c r="I54" s="2"/>
    </x:row>
    <x:row r="55" ht="27" customHeight="1">
      <x:c r="A55" s="1"/>
      <x:c r="B55" s="2"/>
      <x:c r="C55" s="2"/>
      <x:c r="D55" s="2"/>
      <x:c r="E55" s="2"/>
      <x:c r="F55" s="2"/>
      <x:c r="G55" s="2"/>
      <x:c r="H55" s="2"/>
      <x:c r="I55" s="2"/>
    </x:row>
    <x:row r="56" ht="27" customHeight="1">
      <x:c r="A56" s="1"/>
      <x:c r="B56" s="2"/>
      <x:c r="C56" s="2"/>
      <x:c r="D56" s="2"/>
      <x:c r="E56" s="2"/>
      <x:c r="F56" s="2"/>
      <x:c r="G56" s="2"/>
      <x:c r="H56" s="2"/>
      <x:c r="I56" s="2"/>
    </x:row>
    <x:row r="57" ht="27" customHeight="1">
      <x:c r="A57" s="1"/>
      <x:c r="B57" s="2"/>
      <x:c r="C57" s="2"/>
      <x:c r="D57" s="2"/>
      <x:c r="E57" s="2"/>
      <x:c r="F57" s="2"/>
      <x:c r="G57" s="2"/>
      <x:c r="H57" s="2"/>
      <x:c r="I57" s="2"/>
    </x:row>
    <x:row r="58" ht="27" customHeight="1">
      <x:c r="A58" s="1"/>
      <x:c r="B58" s="2"/>
      <x:c r="C58" s="2"/>
      <x:c r="D58" s="2"/>
      <x:c r="E58" s="2"/>
      <x:c r="F58" s="2"/>
      <x:c r="G58" s="2"/>
      <x:c r="H58" s="2"/>
      <x:c r="I58" s="2"/>
    </x:row>
    <x:row r="59" ht="27" customHeight="1">
      <x:c r="A59" s="1"/>
      <x:c r="B59" s="2"/>
      <x:c r="C59" s="2"/>
      <x:c r="D59" s="2"/>
      <x:c r="E59" s="2"/>
      <x:c r="F59" s="2"/>
      <x:c r="G59" s="2"/>
      <x:c r="H59" s="2"/>
      <x:c r="I59" s="2"/>
    </x:row>
    <x:row r="60" ht="27" customHeight="1">
      <x:c r="A60" s="1"/>
      <x:c r="B60" s="2"/>
      <x:c r="C60" s="2"/>
      <x:c r="D60" s="2"/>
      <x:c r="E60" s="2"/>
      <x:c r="F60" s="2"/>
      <x:c r="G60" s="2"/>
      <x:c r="H60" s="2"/>
      <x:c r="I60" s="2"/>
    </x:row>
    <x:row r="61" ht="27" customHeight="1">
      <x:c r="A61" s="1"/>
      <x:c r="B61" s="2"/>
      <x:c r="C61" s="2"/>
      <x:c r="D61" s="2"/>
      <x:c r="E61" s="2"/>
      <x:c r="F61" s="2"/>
      <x:c r="G61" s="2"/>
      <x:c r="H61" s="2"/>
      <x:c r="I61" s="2"/>
    </x:row>
    <x:row r="62" ht="27" customHeight="1">
      <x:c r="A62" s="1"/>
      <x:c r="B62" s="2"/>
      <x:c r="C62" s="2"/>
      <x:c r="D62" s="2"/>
      <x:c r="E62" s="2"/>
      <x:c r="F62" s="2"/>
      <x:c r="G62" s="2"/>
      <x:c r="H62" s="2"/>
      <x:c r="I62" s="2"/>
    </x:row>
    <x:row r="63" ht="27" customHeight="1">
      <x:c r="A63" s="1"/>
      <x:c r="B63" s="2"/>
      <x:c r="C63" s="2"/>
      <x:c r="D63" s="2"/>
      <x:c r="E63" s="2"/>
      <x:c r="F63" s="2"/>
      <x:c r="G63" s="2"/>
      <x:c r="H63" s="2"/>
      <x:c r="I63" s="2"/>
    </x:row>
    <x:row r="64" ht="27" customHeight="1">
      <x:c r="A64" s="1"/>
      <x:c r="B64" s="2"/>
      <x:c r="C64" s="2"/>
      <x:c r="D64" s="2"/>
      <x:c r="E64" s="2"/>
      <x:c r="F64" s="2"/>
      <x:c r="G64" s="2"/>
      <x:c r="H64" s="2"/>
      <x:c r="I64" s="2"/>
    </x:row>
    <x:row r="65" ht="27" customHeight="1">
      <x:c r="A65" s="1"/>
      <x:c r="B65" s="2"/>
      <x:c r="C65" s="2"/>
      <x:c r="D65" s="2"/>
      <x:c r="E65" s="2"/>
      <x:c r="F65" s="2"/>
      <x:c r="G65" s="2"/>
      <x:c r="H65" s="2"/>
      <x:c r="I65" s="2"/>
    </x:row>
  </x:sheetData>
  <x:mergeCells>
    <x:mergeCell ref="A1:H1"/>
    <x:mergeCell ref="A2:H2"/>
    <x:mergeCell ref="A28:E28"/>
    <x:mergeCell ref="A29:E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10" defaultColWidth="8.83203125" defaultRowHeight="15"/>
  <x:cols>
    <x:col min="1" max="1" width="35.5" customWidth="1"/>
    <x:col min="2" max="7" width="12.5" customWidth="1"/>
    <x:col min="8" max="8" width="17.83203125" customWidth="1"/>
    <x:col min="9" max="9" width="12.5" customWidth="1"/>
  </x:cols>
  <x:sheetData>
    <x:row r="1" ht="27" customHeight="1">
      <x:c r="A1" s="32" t="s">
        <x:v>110</x:v>
      </x:c>
      <x:c r="B1" s="30"/>
      <x:c r="C1" s="30"/>
      <x:c r="D1" s="30"/>
      <x:c r="E1" s="30"/>
      <x:c r="F1" s="30"/>
      <x:c r="G1" s="30"/>
      <x:c r="H1" s="30"/>
      <x:c r="I1" s="2"/>
    </x:row>
    <x:row r="2" ht="27" customHeight="1">
      <x:c r="A2" s="29" t="s">
        <x:v>111</x:v>
      </x:c>
      <x:c r="B2" s="30"/>
      <x:c r="C2" s="30"/>
      <x:c r="D2" s="30"/>
      <x:c r="E2" s="30"/>
      <x:c r="F2" s="30"/>
      <x:c r="G2" s="30"/>
      <x:c r="H2" s="30"/>
      <x:c r="I2" s="30"/>
    </x:row>
    <x:row r="3" ht="27" customHeight="1">
      <x:c r="A3" s="1"/>
      <x:c r="B3" s="2"/>
      <x:c r="C3" s="2"/>
      <x:c r="D3" s="2"/>
      <x:c r="E3" s="2"/>
      <x:c r="F3" s="2"/>
      <x:c r="G3" s="2"/>
      <x:c r="H3" s="2"/>
      <x:c r="I3" s="2"/>
    </x:row>
    <x:row r="4" ht="27" customHeight="1">
      <x:c r="A4" s="1"/>
      <x:c r="B4" s="2"/>
      <x:c r="C4" s="2"/>
      <x:c r="D4" s="2"/>
      <x:c r="E4" s="2"/>
      <x:c r="F4" s="2"/>
      <x:c r="G4" s="2"/>
      <x:c r="H4" s="2"/>
      <x:c r="I4" s="2"/>
    </x:row>
    <x:row r="5" ht="44" customHeight="1">
      <x:c r="A5" s="13" t="s">
        <x:v>112</x:v>
      </x:c>
      <x:c r="B5" s="14" t="s">
        <x:v>58</x:v>
      </x:c>
      <x:c r="C5" s="14" t="s">
        <x:v>59</x:v>
      </x:c>
      <x:c r="D5" s="14" t="s">
        <x:v>60</x:v>
      </x:c>
      <x:c r="E5" s="14" t="s">
        <x:v>61</x:v>
      </x:c>
      <x:c r="F5" s="14" t="s">
        <x:v>113</x:v>
      </x:c>
      <x:c r="G5" s="14" t="s">
        <x:v>114</x:v>
      </x:c>
      <x:c r="H5" s="14" t="s">
        <x:v>115</x:v>
      </x:c>
      <x:c r="I5" s="14" t="s">
        <x:v>116</x:v>
      </x:c>
    </x:row>
    <x:row r="6" ht="27" customHeight="1">
      <x:c r="A6" s="15" t="s">
        <x:v>117</x:v>
      </x:c>
      <x:c r="B6" s="17" t="n">
        <x:f>Ресурсы!C27</x:f>
        <x:v>9</x:v>
      </x:c>
      <x:c r="C6" s="17" t="n">
        <x:f>Ресурсы!C19</x:f>
        <x:v>2</x:v>
      </x:c>
      <x:c r="D6" s="17" t="n">
        <x:f>B6*60/C6</x:f>
        <x:v>270</x:v>
      </x:c>
      <x:c r="E6" s="17" t="n">
        <x:f>ROUNDUP(Ресурсы!C17/D6,0)</x:f>
        <x:v>4</x:v>
      </x:c>
      <x:c r="F6" s="17" t="n">
        <x:f>E6*Ресурсы!F38</x:f>
        <x:v>4</x:v>
      </x:c>
      <x:c r="G6" s="17" t="n">
        <x:f>ROUNDUP(F6/Стоимость!C15,0)*Стоимость!C15</x:f>
        <x:v>4</x:v>
      </x:c>
      <x:c r="H6" s="23" t="n">
        <x:f>G6/Стоимость!C15*Стоимость!C17</x:f>
        <x:v>1112884</x:v>
      </x:c>
      <x:c r="I6" s="27" t="n">
        <x:f>1-H6/$H$6</x:f>
        <x:v>0</x:v>
      </x:c>
    </x:row>
    <x:row r="7" ht="27" customHeight="1">
      <x:c r="A7" s="15" t="s">
        <x:v>118</x:v>
      </x:c>
      <x:c r="B7" s="17" t="n">
        <x:f>Ресурсы!C28</x:f>
        <x:v>12</x:v>
      </x:c>
      <x:c r="C7" s="17" t="n">
        <x:f>Ресурсы!C19</x:f>
        <x:v>2</x:v>
      </x:c>
      <x:c r="D7" s="17" t="n">
        <x:f>B7*60/C7</x:f>
        <x:v>360</x:v>
      </x:c>
      <x:c r="E7" s="17" t="n">
        <x:f>ROUNDUP(Ресурсы!C17/D7,0)</x:f>
        <x:v>3</x:v>
      </x:c>
      <x:c r="F7" s="17" t="n">
        <x:f>E7*Ресурсы!F38</x:f>
        <x:v>3</x:v>
      </x:c>
      <x:c r="G7" s="17" t="n">
        <x:f>ROUNDUP(F7/Стоимость!C15,0)*Стоимость!C15</x:f>
        <x:v>4</x:v>
      </x:c>
      <x:c r="H7" s="23" t="n">
        <x:f>G7/Стоимость!C15*Стоимость!C17</x:f>
        <x:v>1112884</x:v>
      </x:c>
      <x:c r="I7" s="27" t="n">
        <x:f>1-H7/$H$6</x:f>
        <x:v>0</x:v>
      </x:c>
    </x:row>
    <x:row r="8" ht="27" customHeight="1">
      <x:c r="A8" s="24" t="s">
        <x:v>119</x:v>
      </x:c>
      <x:c r="B8" s="25" t="n">
        <x:f>Ресурсы!C29</x:f>
        <x:v>18</x:v>
      </x:c>
      <x:c r="C8" s="25" t="n">
        <x:f>Ресурсы!C19</x:f>
        <x:v>2</x:v>
      </x:c>
      <x:c r="D8" s="25" t="n">
        <x:f>B8*60/C8</x:f>
        <x:v>540</x:v>
      </x:c>
      <x:c r="E8" s="25" t="n">
        <x:f>ROUNDUP(Ресурсы!C17/D8,0)</x:f>
        <x:v>2</x:v>
      </x:c>
      <x:c r="F8" s="25" t="n">
        <x:f>E8*Ресурсы!F38</x:f>
        <x:v>2</x:v>
      </x:c>
      <x:c r="G8" s="25" t="n">
        <x:f>ROUNDUP(F8/Стоимость!C15,0)*Стоимость!C15</x:f>
        <x:v>2</x:v>
      </x:c>
      <x:c r="H8" s="26" t="n">
        <x:f>G8/Стоимость!C15*Стоимость!C17</x:f>
        <x:v>556442</x:v>
      </x:c>
      <x:c r="I8" s="28" t="n">
        <x:f>1-H8/$H$6</x:f>
        <x:v>0.5</x:v>
      </x:c>
    </x:row>
    <x:row r="9" ht="27" customHeight="1">
      <x:c r="A9" s="1"/>
      <x:c r="B9" s="2"/>
      <x:c r="C9" s="2"/>
      <x:c r="D9" s="2"/>
      <x:c r="E9" s="2"/>
      <x:c r="F9" s="2"/>
      <x:c r="G9" s="2"/>
      <x:c r="H9" s="2"/>
      <x:c r="I9" s="2"/>
    </x:row>
    <x:row r="10" ht="27" customHeight="1">
      <x:c r="A10" s="1"/>
      <x:c r="B10" s="2"/>
      <x:c r="C10" s="2"/>
      <x:c r="D10" s="2"/>
      <x:c r="E10" s="2"/>
      <x:c r="F10" s="2"/>
      <x:c r="G10" s="2"/>
      <x:c r="H10" s="2"/>
      <x:c r="I10" s="2"/>
    </x:row>
    <x:row r="11" ht="40" customHeight="1">
      <x:c r="A11" s="29" t="s">
        <x:v>120</x:v>
      </x:c>
      <x:c r="B11" s="30"/>
      <x:c r="C11" s="30"/>
      <x:c r="D11" s="30"/>
      <x:c r="E11" s="30"/>
      <x:c r="F11" s="30"/>
      <x:c r="G11" s="30"/>
      <x:c r="H11" s="30"/>
      <x:c r="I11" s="30"/>
    </x:row>
    <x:row r="12" ht="40" customHeight="1">
      <x:c r="A12" s="29" t="s">
        <x:v>121</x:v>
      </x:c>
      <x:c r="B12" s="30"/>
      <x:c r="C12" s="30"/>
      <x:c r="D12" s="30"/>
      <x:c r="E12" s="30"/>
      <x:c r="F12" s="30"/>
      <x:c r="G12" s="30"/>
      <x:c r="H12" s="30"/>
      <x:c r="I12" s="30"/>
    </x:row>
    <x:row r="13" ht="40" customHeight="1">
      <x:c r="A13" s="29" t="s">
        <x:v>122</x:v>
      </x:c>
      <x:c r="B13" s="30"/>
      <x:c r="C13" s="30"/>
      <x:c r="D13" s="30"/>
      <x:c r="E13" s="30"/>
      <x:c r="F13" s="30"/>
      <x:c r="G13" s="30"/>
      <x:c r="H13" s="30"/>
      <x:c r="I13" s="30"/>
    </x:row>
    <x:row r="14" ht="40" customHeight="1">
      <x:c r="A14" s="29" t="s">
        <x:v>123</x:v>
      </x:c>
      <x:c r="B14" s="30"/>
      <x:c r="C14" s="30"/>
      <x:c r="D14" s="30"/>
      <x:c r="E14" s="30"/>
      <x:c r="F14" s="30"/>
      <x:c r="G14" s="30"/>
      <x:c r="H14" s="30"/>
      <x:c r="I14" s="30"/>
    </x:row>
    <x:row r="15" ht="27" customHeight="1">
      <x:c r="A15" s="1"/>
      <x:c r="B15" s="2"/>
      <x:c r="C15" s="2"/>
      <x:c r="D15" s="2"/>
      <x:c r="E15" s="2"/>
      <x:c r="F15" s="2"/>
      <x:c r="G15" s="2"/>
      <x:c r="H15" s="2"/>
      <x:c r="I15" s="2"/>
    </x:row>
    <x:row r="16" ht="27" customHeight="1">
      <x:c r="A16" s="1"/>
      <x:c r="B16" s="2"/>
      <x:c r="C16" s="2"/>
      <x:c r="D16" s="2"/>
      <x:c r="E16" s="2"/>
      <x:c r="F16" s="2"/>
      <x:c r="G16" s="2"/>
      <x:c r="H16" s="2"/>
      <x:c r="I16" s="2"/>
    </x:row>
    <x:row r="17" ht="40" customHeight="1">
      <x:c r="A17" s="29" t="s">
        <x:v>124</x:v>
      </x:c>
      <x:c r="B17" s="30"/>
      <x:c r="C17" s="30"/>
      <x:c r="D17" s="30"/>
      <x:c r="E17" s="30"/>
      <x:c r="F17" s="30"/>
      <x:c r="G17" s="30"/>
      <x:c r="H17" s="30"/>
      <x:c r="I17" s="30"/>
    </x:row>
    <x:row r="18" ht="40" customHeight="1">
      <x:c r="A18" s="29" t="s">
        <x:v>125</x:v>
      </x:c>
      <x:c r="B18" s="30"/>
      <x:c r="C18" s="30"/>
      <x:c r="D18" s="30"/>
      <x:c r="E18" s="30"/>
      <x:c r="F18" s="30"/>
      <x:c r="G18" s="30"/>
      <x:c r="H18" s="30"/>
      <x:c r="I18" s="30"/>
    </x:row>
    <x:row r="19" ht="27" customHeight="1">
      <x:c r="A19" s="1"/>
      <x:c r="B19" s="2"/>
      <x:c r="C19" s="2"/>
      <x:c r="D19" s="2"/>
      <x:c r="E19" s="2"/>
      <x:c r="F19" s="2"/>
      <x:c r="G19" s="2"/>
      <x:c r="H19" s="2"/>
      <x:c r="I19" s="2"/>
    </x:row>
    <x:row r="20" ht="27" customHeight="1">
      <x:c r="A20" s="1" t="s">
        <x:v>126</x:v>
      </x:c>
      <x:c r="B20" s="21" t="n">
        <x:f>Стоимость!E23</x:f>
        <x:v>556442</x:v>
      </x:c>
      <x:c r="C20" s="2"/>
      <x:c r="D20" s="2"/>
      <x:c r="E20" s="2"/>
      <x:c r="F20" s="2"/>
      <x:c r="G20" s="2"/>
      <x:c r="H20" s="2"/>
      <x:c r="I20" s="2"/>
    </x:row>
    <x:row r="21" ht="27" customHeight="1">
      <x:c r="A21" s="1" t="s">
        <x:v>127</x:v>
      </x:c>
      <x:c r="B21" s="12" t="n">
        <x:f>D8*E8</x:f>
        <x:v>1080</x:v>
      </x:c>
      <x:c r="C21" s="2"/>
      <x:c r="D21" s="2"/>
      <x:c r="E21" s="2"/>
      <x:c r="F21" s="2"/>
      <x:c r="G21" s="2"/>
      <x:c r="H21" s="2"/>
      <x:c r="I21" s="2"/>
    </x:row>
    <x:row r="22" ht="27" customHeight="1">
      <x:c r="A22" s="1"/>
      <x:c r="B22" s="2"/>
      <x:c r="C22" s="2"/>
      <x:c r="D22" s="2"/>
      <x:c r="E22" s="2"/>
      <x:c r="F22" s="2"/>
      <x:c r="G22" s="2"/>
      <x:c r="H22" s="2"/>
      <x:c r="I22" s="2"/>
    </x:row>
    <x:row r="23" ht="27" customHeight="1">
      <x:c r="A23" s="1"/>
      <x:c r="B23" s="2"/>
      <x:c r="C23" s="2"/>
      <x:c r="D23" s="2"/>
      <x:c r="E23" s="2"/>
      <x:c r="F23" s="2"/>
      <x:c r="G23" s="2"/>
      <x:c r="H23" s="2"/>
      <x:c r="I23" s="2"/>
    </x:row>
    <x:row r="24" ht="27" customHeight="1">
      <x:c r="A24" s="1"/>
      <x:c r="B24" s="2"/>
      <x:c r="C24" s="2"/>
      <x:c r="D24" s="2"/>
      <x:c r="E24" s="2"/>
      <x:c r="F24" s="2"/>
      <x:c r="G24" s="2"/>
      <x:c r="H24" s="2"/>
      <x:c r="I24" s="2"/>
    </x:row>
    <x:row r="25" ht="27" customHeight="1">
      <x:c r="A25" s="1"/>
      <x:c r="B25" s="2"/>
      <x:c r="C25" s="2"/>
      <x:c r="D25" s="2"/>
      <x:c r="E25" s="2"/>
      <x:c r="F25" s="2"/>
      <x:c r="G25" s="2"/>
      <x:c r="H25" s="2"/>
      <x:c r="I25" s="2"/>
    </x:row>
    <x:row r="26" ht="27" customHeight="1">
      <x:c r="A26" s="1"/>
      <x:c r="B26" s="2"/>
      <x:c r="C26" s="2"/>
      <x:c r="D26" s="2"/>
      <x:c r="E26" s="2"/>
      <x:c r="F26" s="2"/>
      <x:c r="G26" s="2"/>
      <x:c r="H26" s="2"/>
      <x:c r="I26" s="2"/>
    </x:row>
    <x:row r="27" ht="27" customHeight="1">
      <x:c r="A27" s="1"/>
      <x:c r="B27" s="2"/>
      <x:c r="C27" s="2"/>
      <x:c r="D27" s="2"/>
      <x:c r="E27" s="2"/>
      <x:c r="F27" s="2"/>
      <x:c r="G27" s="2"/>
      <x:c r="H27" s="2"/>
      <x:c r="I27" s="2"/>
    </x:row>
    <x:row r="28" ht="27" customHeight="1">
      <x:c r="A28" s="1"/>
      <x:c r="B28" s="2"/>
      <x:c r="C28" s="2"/>
      <x:c r="D28" s="2"/>
      <x:c r="E28" s="2"/>
      <x:c r="F28" s="2"/>
      <x:c r="G28" s="2"/>
      <x:c r="H28" s="2"/>
      <x:c r="I28" s="2"/>
    </x:row>
    <x:row r="29" ht="27" customHeight="1">
      <x:c r="A29" s="1"/>
      <x:c r="B29" s="2"/>
      <x:c r="C29" s="2"/>
      <x:c r="D29" s="2"/>
      <x:c r="E29" s="2"/>
      <x:c r="F29" s="2"/>
      <x:c r="G29" s="2"/>
      <x:c r="H29" s="2"/>
      <x:c r="I29" s="2"/>
    </x:row>
    <x:row r="30" ht="27" customHeight="1">
      <x:c r="A30" s="1"/>
      <x:c r="B30" s="2"/>
      <x:c r="C30" s="2"/>
      <x:c r="D30" s="2"/>
      <x:c r="E30" s="2"/>
      <x:c r="F30" s="2"/>
      <x:c r="G30" s="2"/>
      <x:c r="H30" s="2"/>
      <x:c r="I30" s="2"/>
    </x:row>
    <x:row r="31" ht="27" customHeight="1">
      <x:c r="A31" s="1"/>
      <x:c r="B31" s="2"/>
      <x:c r="C31" s="2"/>
      <x:c r="D31" s="2"/>
      <x:c r="E31" s="2"/>
      <x:c r="F31" s="2"/>
      <x:c r="G31" s="2"/>
      <x:c r="H31" s="2"/>
      <x:c r="I31" s="2"/>
    </x:row>
    <x:row r="32" ht="27" customHeight="1">
      <x:c r="A32" s="1"/>
      <x:c r="B32" s="2"/>
      <x:c r="C32" s="2"/>
      <x:c r="D32" s="2"/>
      <x:c r="E32" s="2"/>
      <x:c r="F32" s="2"/>
      <x:c r="G32" s="2"/>
      <x:c r="H32" s="2"/>
      <x:c r="I32" s="2"/>
    </x:row>
    <x:row r="33" ht="27" customHeight="1">
      <x:c r="A33" s="1"/>
      <x:c r="B33" s="2"/>
      <x:c r="C33" s="2"/>
      <x:c r="D33" s="2"/>
      <x:c r="E33" s="2"/>
      <x:c r="F33" s="2"/>
      <x:c r="G33" s="2"/>
      <x:c r="H33" s="2"/>
      <x:c r="I33" s="2"/>
    </x:row>
    <x:row r="34" ht="27" customHeight="1">
      <x:c r="A34" s="1"/>
      <x:c r="B34" s="2"/>
      <x:c r="C34" s="2"/>
      <x:c r="D34" s="2"/>
      <x:c r="E34" s="2"/>
      <x:c r="F34" s="2"/>
      <x:c r="G34" s="2"/>
      <x:c r="H34" s="2"/>
      <x:c r="I34" s="2"/>
    </x:row>
    <x:row r="35" ht="27" customHeight="1">
      <x:c r="A35" s="1"/>
      <x:c r="B35" s="2"/>
      <x:c r="C35" s="2"/>
      <x:c r="D35" s="2"/>
      <x:c r="E35" s="2"/>
      <x:c r="F35" s="2"/>
      <x:c r="G35" s="2"/>
      <x:c r="H35" s="2"/>
      <x:c r="I35" s="2"/>
    </x:row>
    <x:row r="36" ht="27" customHeight="1">
      <x:c r="A36" s="1"/>
      <x:c r="B36" s="2"/>
      <x:c r="C36" s="2"/>
      <x:c r="D36" s="2"/>
      <x:c r="E36" s="2"/>
      <x:c r="F36" s="2"/>
      <x:c r="G36" s="2"/>
      <x:c r="H36" s="2"/>
      <x:c r="I36" s="2"/>
    </x:row>
    <x:row r="37" ht="27" customHeight="1">
      <x:c r="A37" s="1"/>
      <x:c r="B37" s="2"/>
      <x:c r="C37" s="2"/>
      <x:c r="D37" s="2"/>
      <x:c r="E37" s="2"/>
      <x:c r="F37" s="2"/>
      <x:c r="G37" s="2"/>
      <x:c r="H37" s="2"/>
      <x:c r="I37" s="2"/>
    </x:row>
    <x:row r="38" ht="27" customHeight="1">
      <x:c r="A38" s="1"/>
      <x:c r="B38" s="2"/>
      <x:c r="C38" s="2"/>
      <x:c r="D38" s="2"/>
      <x:c r="E38" s="2"/>
      <x:c r="F38" s="2"/>
      <x:c r="G38" s="2"/>
      <x:c r="H38" s="2"/>
      <x:c r="I38" s="2"/>
    </x:row>
    <x:row r="39" ht="27" customHeight="1">
      <x:c r="A39" s="1"/>
      <x:c r="B39" s="2"/>
      <x:c r="C39" s="2"/>
      <x:c r="D39" s="2"/>
      <x:c r="E39" s="2"/>
      <x:c r="F39" s="2"/>
      <x:c r="G39" s="2"/>
      <x:c r="H39" s="2"/>
      <x:c r="I39" s="2"/>
    </x:row>
    <x:row r="40" ht="27" customHeight="1">
      <x:c r="A40" s="1"/>
      <x:c r="B40" s="2"/>
      <x:c r="C40" s="2"/>
      <x:c r="D40" s="2"/>
      <x:c r="E40" s="2"/>
      <x:c r="F40" s="2"/>
      <x:c r="G40" s="2"/>
      <x:c r="H40" s="2"/>
      <x:c r="I40" s="2"/>
    </x:row>
    <x:row r="41" ht="27" customHeight="1">
      <x:c r="A41" s="1"/>
      <x:c r="B41" s="2"/>
      <x:c r="C41" s="2"/>
      <x:c r="D41" s="2"/>
      <x:c r="E41" s="2"/>
      <x:c r="F41" s="2"/>
      <x:c r="G41" s="2"/>
      <x:c r="H41" s="2"/>
      <x:c r="I41" s="2"/>
    </x:row>
    <x:row r="42" ht="27" customHeight="1">
      <x:c r="A42" s="1"/>
      <x:c r="B42" s="2"/>
      <x:c r="C42" s="2"/>
      <x:c r="D42" s="2"/>
      <x:c r="E42" s="2"/>
      <x:c r="F42" s="2"/>
      <x:c r="G42" s="2"/>
      <x:c r="H42" s="2"/>
      <x:c r="I42" s="2"/>
    </x:row>
    <x:row r="43" ht="27" customHeight="1">
      <x:c r="A43" s="1"/>
      <x:c r="B43" s="2"/>
      <x:c r="C43" s="2"/>
      <x:c r="D43" s="2"/>
      <x:c r="E43" s="2"/>
      <x:c r="F43" s="2"/>
      <x:c r="G43" s="2"/>
      <x:c r="H43" s="2"/>
      <x:c r="I43" s="2"/>
    </x:row>
    <x:row r="44" ht="27" customHeight="1">
      <x:c r="A44" s="1"/>
      <x:c r="B44" s="2"/>
      <x:c r="C44" s="2"/>
      <x:c r="D44" s="2"/>
      <x:c r="E44" s="2"/>
      <x:c r="F44" s="2"/>
      <x:c r="G44" s="2"/>
      <x:c r="H44" s="2"/>
      <x:c r="I44" s="2"/>
    </x:row>
    <x:row r="45" ht="27" customHeight="1">
      <x:c r="A45" s="1"/>
      <x:c r="B45" s="2"/>
      <x:c r="C45" s="2"/>
      <x:c r="D45" s="2"/>
      <x:c r="E45" s="2"/>
      <x:c r="F45" s="2"/>
      <x:c r="G45" s="2"/>
      <x:c r="H45" s="2"/>
      <x:c r="I45" s="2"/>
    </x:row>
    <x:row r="46" ht="27" customHeight="1">
      <x:c r="A46" s="1"/>
      <x:c r="B46" s="2"/>
      <x:c r="C46" s="2"/>
      <x:c r="D46" s="2"/>
      <x:c r="E46" s="2"/>
      <x:c r="F46" s="2"/>
      <x:c r="G46" s="2"/>
      <x:c r="H46" s="2"/>
      <x:c r="I46" s="2"/>
    </x:row>
    <x:row r="47" ht="27" customHeight="1">
      <x:c r="A47" s="1"/>
      <x:c r="B47" s="2"/>
      <x:c r="C47" s="2"/>
      <x:c r="D47" s="2"/>
      <x:c r="E47" s="2"/>
      <x:c r="F47" s="2"/>
      <x:c r="G47" s="2"/>
      <x:c r="H47" s="2"/>
      <x:c r="I47" s="2"/>
    </x:row>
    <x:row r="48" ht="27" customHeight="1">
      <x:c r="A48" s="1"/>
      <x:c r="B48" s="2"/>
      <x:c r="C48" s="2"/>
      <x:c r="D48" s="2"/>
      <x:c r="E48" s="2"/>
      <x:c r="F48" s="2"/>
      <x:c r="G48" s="2"/>
      <x:c r="H48" s="2"/>
      <x:c r="I48" s="2"/>
    </x:row>
    <x:row r="49" ht="27" customHeight="1">
      <x:c r="A49" s="1"/>
      <x:c r="B49" s="2"/>
      <x:c r="C49" s="2"/>
      <x:c r="D49" s="2"/>
      <x:c r="E49" s="2"/>
      <x:c r="F49" s="2"/>
      <x:c r="G49" s="2"/>
      <x:c r="H49" s="2"/>
      <x:c r="I49" s="2"/>
    </x:row>
    <x:row r="50" ht="27" customHeight="1">
      <x:c r="A50" s="1"/>
      <x:c r="B50" s="2"/>
      <x:c r="C50" s="2"/>
      <x:c r="D50" s="2"/>
      <x:c r="E50" s="2"/>
      <x:c r="F50" s="2"/>
      <x:c r="G50" s="2"/>
      <x:c r="H50" s="2"/>
      <x:c r="I50" s="2"/>
    </x:row>
    <x:row r="51" ht="27" customHeight="1">
      <x:c r="A51" s="1"/>
      <x:c r="B51" s="2"/>
      <x:c r="C51" s="2"/>
      <x:c r="D51" s="2"/>
      <x:c r="E51" s="2"/>
      <x:c r="F51" s="2"/>
      <x:c r="G51" s="2"/>
      <x:c r="H51" s="2"/>
      <x:c r="I51" s="2"/>
    </x:row>
    <x:row r="52" ht="27" customHeight="1">
      <x:c r="A52" s="1"/>
      <x:c r="B52" s="2"/>
      <x:c r="C52" s="2"/>
      <x:c r="D52" s="2"/>
      <x:c r="E52" s="2"/>
      <x:c r="F52" s="2"/>
      <x:c r="G52" s="2"/>
      <x:c r="H52" s="2"/>
      <x:c r="I52" s="2"/>
    </x:row>
    <x:row r="53" ht="27" customHeight="1">
      <x:c r="A53" s="1"/>
      <x:c r="B53" s="2"/>
      <x:c r="C53" s="2"/>
      <x:c r="D53" s="2"/>
      <x:c r="E53" s="2"/>
      <x:c r="F53" s="2"/>
      <x:c r="G53" s="2"/>
      <x:c r="H53" s="2"/>
      <x:c r="I53" s="2"/>
    </x:row>
    <x:row r="54" ht="27" customHeight="1">
      <x:c r="A54" s="1"/>
      <x:c r="B54" s="2"/>
      <x:c r="C54" s="2"/>
      <x:c r="D54" s="2"/>
      <x:c r="E54" s="2"/>
      <x:c r="F54" s="2"/>
      <x:c r="G54" s="2"/>
      <x:c r="H54" s="2"/>
      <x:c r="I54" s="2"/>
    </x:row>
    <x:row r="55" ht="27" customHeight="1">
      <x:c r="A55" s="1"/>
      <x:c r="B55" s="2"/>
      <x:c r="C55" s="2"/>
      <x:c r="D55" s="2"/>
      <x:c r="E55" s="2"/>
      <x:c r="F55" s="2"/>
      <x:c r="G55" s="2"/>
      <x:c r="H55" s="2"/>
      <x:c r="I55" s="2"/>
    </x:row>
    <x:row r="56" ht="27" customHeight="1">
      <x:c r="A56" s="1"/>
      <x:c r="B56" s="2"/>
      <x:c r="C56" s="2"/>
      <x:c r="D56" s="2"/>
      <x:c r="E56" s="2"/>
      <x:c r="F56" s="2"/>
      <x:c r="G56" s="2"/>
      <x:c r="H56" s="2"/>
      <x:c r="I56" s="2"/>
    </x:row>
    <x:row r="57" ht="27" customHeight="1">
      <x:c r="A57" s="1"/>
      <x:c r="B57" s="2"/>
      <x:c r="C57" s="2"/>
      <x:c r="D57" s="2"/>
      <x:c r="E57" s="2"/>
      <x:c r="F57" s="2"/>
      <x:c r="G57" s="2"/>
      <x:c r="H57" s="2"/>
      <x:c r="I57" s="2"/>
    </x:row>
    <x:row r="58" ht="27" customHeight="1">
      <x:c r="A58" s="1"/>
      <x:c r="B58" s="2"/>
      <x:c r="C58" s="2"/>
      <x:c r="D58" s="2"/>
      <x:c r="E58" s="2"/>
      <x:c r="F58" s="2"/>
      <x:c r="G58" s="2"/>
      <x:c r="H58" s="2"/>
      <x:c r="I58" s="2"/>
    </x:row>
    <x:row r="59" ht="27" customHeight="1">
      <x:c r="A59" s="1"/>
      <x:c r="B59" s="2"/>
      <x:c r="C59" s="2"/>
      <x:c r="D59" s="2"/>
      <x:c r="E59" s="2"/>
      <x:c r="F59" s="2"/>
      <x:c r="G59" s="2"/>
      <x:c r="H59" s="2"/>
      <x:c r="I59" s="2"/>
    </x:row>
    <x:row r="60" ht="27" customHeight="1">
      <x:c r="A60" s="1"/>
      <x:c r="B60" s="2"/>
      <x:c r="C60" s="2"/>
      <x:c r="D60" s="2"/>
      <x:c r="E60" s="2"/>
      <x:c r="F60" s="2"/>
      <x:c r="G60" s="2"/>
      <x:c r="H60" s="2"/>
      <x:c r="I60" s="2"/>
    </x:row>
    <x:row r="61" ht="27" customHeight="1">
      <x:c r="A61" s="1"/>
      <x:c r="B61" s="2"/>
      <x:c r="C61" s="2"/>
      <x:c r="D61" s="2"/>
      <x:c r="E61" s="2"/>
      <x:c r="F61" s="2"/>
      <x:c r="G61" s="2"/>
      <x:c r="H61" s="2"/>
      <x:c r="I61" s="2"/>
    </x:row>
    <x:row r="62" ht="27" customHeight="1">
      <x:c r="A62" s="1"/>
      <x:c r="B62" s="2"/>
      <x:c r="C62" s="2"/>
      <x:c r="D62" s="2"/>
      <x:c r="E62" s="2"/>
      <x:c r="F62" s="2"/>
      <x:c r="G62" s="2"/>
      <x:c r="H62" s="2"/>
      <x:c r="I62" s="2"/>
    </x:row>
    <x:row r="63" ht="27" customHeight="1">
      <x:c r="A63" s="1"/>
      <x:c r="B63" s="2"/>
      <x:c r="C63" s="2"/>
      <x:c r="D63" s="2"/>
      <x:c r="E63" s="2"/>
      <x:c r="F63" s="2"/>
      <x:c r="G63" s="2"/>
      <x:c r="H63" s="2"/>
      <x:c r="I63" s="2"/>
    </x:row>
    <x:row r="64" ht="27" customHeight="1">
      <x:c r="A64" s="1"/>
      <x:c r="B64" s="2"/>
      <x:c r="C64" s="2"/>
      <x:c r="D64" s="2"/>
      <x:c r="E64" s="2"/>
      <x:c r="F64" s="2"/>
      <x:c r="G64" s="2"/>
      <x:c r="H64" s="2"/>
      <x:c r="I64" s="2"/>
    </x:row>
    <x:row r="65" ht="27" customHeight="1">
      <x:c r="A65" s="1"/>
      <x:c r="B65" s="2"/>
      <x:c r="C65" s="2"/>
      <x:c r="D65" s="2"/>
      <x:c r="E65" s="2"/>
      <x:c r="F65" s="2"/>
      <x:c r="G65" s="2"/>
      <x:c r="H65" s="2"/>
      <x:c r="I65" s="2"/>
    </x:row>
  </x:sheetData>
  <x:mergeCells>
    <x:mergeCell ref="A14:I14"/>
    <x:mergeCell ref="A17:I17"/>
    <x:mergeCell ref="A18:I18"/>
    <x:mergeCell ref="A1:H1"/>
    <x:mergeCell ref="A2:I2"/>
    <x:mergeCell ref="A11:I11"/>
    <x:mergeCell ref="A12:I12"/>
    <x:mergeCell ref="A13:I13"/>
  </x:mergeCells>
  <x:pageMargins left="0.7" right="0.7" top="0.75" bottom="0.75" header="0.3" footer="0.3"/>
</x:worksheet>
</file>